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8/calcfeatures" ns1:Ignorable="x15 xr xr6 xr10 xr2">
  <fileVersion appName="xl" lastEdited="7" lowestEdited="5" rupBuild="30326"/>
  <workbookPr/>
  <ns1:AlternateContent>
    <ns1:Choice Requires="x15">
      <ns2:absPath url="C:\Users\alvin\Desktop\GM\reports\"/>
    </ns1:Choice>
  </ns1:AlternateContent>
  <ns3:revisionPtr revIDLastSave="0" documentId="13_ncr:1_{A9C4ADF3-3FB4-431D-9695-D1BCF026F731}" ns4:coauthVersionLast="47" ns4:coauthVersionMax="47" ns5:uidLastSave="{00000000-0000-0000-0000-000000000000}"/>
  <bookViews>
    <workbookView xWindow="-108" yWindow="-108" windowWidth="23256" windowHeight="13176" ns6:uid="{00000000-000D-0000-FFFF-FFFF00000000}"/>
  </bookViews>
  <sheets>
    <sheet name="PROGRESSION" sheetId="1" ns7:id="rId1"/>
    <sheet name="COMPARE" sheetId="4" ns7:id="rId2"/>
    <sheet name="ORDER" sheetId="6" ns7:id="rId3"/>
    <sheet name="FLOORS" sheetId="5" ns7:id="rId4"/>
    <sheet name="SITE REPORT" sheetId="7" ns7:id="rId5"/>
    <sheet name="PO LOG" sheetId="8" ns7:id="rId6"/>
    <sheet name="MANPOWER" sheetId="9" ns7:id="rId7"/>
    <sheet name="ATTENDANCE" sheetId="12" ns7:id="rId8"/>
    <sheet name="aipoon" sheetId="15" ns7:id="rId9"/>
    <sheet name="ariyan" sheetId="16" ns7:id="rId10"/>
    <sheet name="Sheet2" sheetId="3" ns7:id="rId11"/>
  </sheets>
  <externalReferences>
    <externalReference ns7:id="rId12"/>
  </externalReferences>
  <definedNames>
    <definedName name="_xlnm.Print_Area" localSheetId="7">ATTENDANCE!$A$1:$AF$28</definedName>
    <definedName name="_xlnm.Print_Titles" localSheetId="7">ATTENDANCE!$1:$1</definedName>
    <definedName name="solver_eng" localSheetId="6" hidden="1">0</definedName>
    <definedName name="solver_eng" localSheetId="5" hidden="1">0</definedName>
    <definedName name="solver_eng" localSheetId="4" hidden="1">0</definedName>
  </definedNames>
  <calcPr calcId="191029" calcMode="auto" fullCalcOnLoad="1" forceFullCalc="1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E54" i="16" l="1"/>
  <c r="H53" i="16"/>
  <c r="H52" i="16"/>
  <c r="H51" i="16"/>
  <c r="H48" i="16"/>
  <c r="H47" i="16"/>
  <c r="H46" i="16"/>
  <c r="H45" i="16"/>
  <c r="H44" i="16"/>
  <c r="H43" i="16"/>
  <c r="H42" i="16"/>
  <c r="H41" i="16"/>
  <c r="H40" i="16"/>
  <c r="H39" i="16"/>
  <c r="H38" i="16"/>
  <c r="H34" i="16"/>
  <c r="H33" i="16"/>
  <c r="H32" i="16"/>
  <c r="H31" i="16"/>
  <c r="H30" i="16"/>
  <c r="H29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54" i="16" s="1"/>
  <c r="E40" i="15"/>
  <c r="H40" i="15" s="1"/>
  <c r="H39" i="15"/>
  <c r="E39" i="15"/>
  <c r="E35" i="15"/>
  <c r="H35" i="15" s="1"/>
  <c r="E34" i="15"/>
  <c r="H34" i="15" s="1"/>
  <c r="E33" i="15"/>
  <c r="H33" i="15" s="1"/>
  <c r="H32" i="15"/>
  <c r="E32" i="15"/>
  <c r="E31" i="15"/>
  <c r="H31" i="15" s="1"/>
  <c r="E30" i="15"/>
  <c r="H30" i="15" s="1"/>
  <c r="E29" i="15"/>
  <c r="H29" i="15" s="1"/>
  <c r="H25" i="15"/>
  <c r="E25" i="15"/>
  <c r="E24" i="15"/>
  <c r="H24" i="15" s="1"/>
  <c r="E23" i="15"/>
  <c r="H23" i="15" s="1"/>
  <c r="E22" i="15"/>
  <c r="H22" i="15" s="1"/>
  <c r="H21" i="15"/>
  <c r="E21" i="15"/>
  <c r="E20" i="15"/>
  <c r="H20" i="15" s="1"/>
  <c r="E19" i="15"/>
  <c r="H19" i="15" s="1"/>
  <c r="E15" i="15"/>
  <c r="H15" i="15" s="1"/>
  <c r="H14" i="15"/>
  <c r="E14" i="15"/>
  <c r="E13" i="15"/>
  <c r="H13" i="15" s="1"/>
  <c r="E12" i="15"/>
  <c r="H12" i="15" s="1"/>
  <c r="E11" i="15"/>
  <c r="H11" i="15" s="1"/>
  <c r="H10" i="15"/>
  <c r="E10" i="15"/>
  <c r="E9" i="15"/>
  <c r="H9" i="15" s="1"/>
  <c r="H53" i="15" l="1"/>
  <c r="E53" i="15"/>
  <c r="E17" i="6" l="1" a="1"/>
  <c r="E17" i="6" s="1"/>
  <c r="D35" i="9"/>
  <c r="C35" i="9"/>
  <c r="B34" i="9"/>
  <c r="D34" i="9" s="1"/>
  <c r="A34" i="9"/>
  <c r="D33" i="9"/>
  <c r="B33" i="9"/>
  <c r="A33" i="9"/>
  <c r="B32" i="9"/>
  <c r="D32" i="9" s="1"/>
  <c r="A32" i="9"/>
  <c r="D31" i="9"/>
  <c r="B31" i="9"/>
  <c r="A31" i="9"/>
  <c r="B30" i="9"/>
  <c r="D30" i="9" s="1"/>
  <c r="A30" i="9"/>
  <c r="B29" i="9"/>
  <c r="D29" i="9" s="1"/>
  <c r="A29" i="9"/>
  <c r="B28" i="9"/>
  <c r="D28" i="9" s="1"/>
  <c r="A28" i="9"/>
  <c r="D27" i="9"/>
  <c r="B27" i="9"/>
  <c r="A27" i="9"/>
  <c r="D26" i="9"/>
  <c r="B26" i="9"/>
  <c r="A26" i="9"/>
  <c r="D25" i="9"/>
  <c r="B25" i="9"/>
  <c r="A25" i="9"/>
  <c r="B24" i="9"/>
  <c r="D24" i="9" s="1"/>
  <c r="A24" i="9"/>
  <c r="D23" i="9"/>
  <c r="B23" i="9"/>
  <c r="A23" i="9"/>
  <c r="B22" i="9"/>
  <c r="D22" i="9" s="1"/>
  <c r="A22" i="9"/>
  <c r="B21" i="9"/>
  <c r="D21" i="9" s="1"/>
  <c r="A21" i="9"/>
  <c r="B20" i="9"/>
  <c r="D20" i="9" s="1"/>
  <c r="A20" i="9"/>
  <c r="D19" i="9"/>
  <c r="B19" i="9"/>
  <c r="A19" i="9"/>
  <c r="D18" i="9"/>
  <c r="B18" i="9"/>
  <c r="A18" i="9"/>
  <c r="D17" i="9"/>
  <c r="B17" i="9"/>
  <c r="A17" i="9"/>
  <c r="B16" i="9"/>
  <c r="D16" i="9" s="1"/>
  <c r="A16" i="9"/>
  <c r="D15" i="9"/>
  <c r="B15" i="9"/>
  <c r="A15" i="9"/>
  <c r="B14" i="9"/>
  <c r="D14" i="9" s="1"/>
  <c r="A14" i="9"/>
  <c r="B13" i="9"/>
  <c r="D13" i="9" s="1"/>
  <c r="A13" i="9"/>
  <c r="B12" i="9"/>
  <c r="D12" i="9" s="1"/>
  <c r="A12" i="9"/>
  <c r="D11" i="9"/>
  <c r="B11" i="9"/>
  <c r="A11" i="9"/>
  <c r="D10" i="9"/>
  <c r="B10" i="9"/>
  <c r="A10" i="9"/>
  <c r="D9" i="9"/>
  <c r="B9" i="9"/>
  <c r="A9" i="9"/>
  <c r="D8" i="9"/>
  <c r="B8" i="9"/>
  <c r="A8" i="9"/>
  <c r="A5" i="9"/>
  <c r="A2" i="9"/>
  <c r="H17" i="8"/>
  <c r="G17" i="8"/>
  <c r="E17" i="8"/>
  <c r="F16" i="8"/>
  <c r="F15" i="8"/>
  <c r="F14" i="8"/>
  <c r="F13" i="8"/>
  <c r="F12" i="8"/>
  <c r="F11" i="8"/>
  <c r="F10" i="8"/>
  <c r="F9" i="8"/>
  <c r="F8" i="8"/>
  <c r="F7" i="8"/>
  <c r="F6" i="8"/>
  <c r="F5" i="8"/>
  <c r="A2" i="8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A26" i="7"/>
  <c r="D25" i="7"/>
  <c r="A25" i="7"/>
  <c r="D24" i="7"/>
  <c r="A24" i="7"/>
  <c r="D23" i="7"/>
  <c r="A23" i="7"/>
  <c r="D22" i="7"/>
  <c r="A22" i="7"/>
  <c r="D21" i="7"/>
  <c r="A21" i="7"/>
  <c r="D20" i="7"/>
  <c r="A20" i="7"/>
  <c r="D19" i="7"/>
  <c r="A19" i="7"/>
  <c r="D18" i="7"/>
  <c r="C18" i="7"/>
  <c r="B18" i="7"/>
  <c r="A18" i="7"/>
  <c r="D17" i="7"/>
  <c r="C17" i="7"/>
  <c r="B17" i="7"/>
  <c r="A17" i="7"/>
  <c r="D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F5" i="7"/>
  <c r="E5" i="7"/>
  <c r="A2" i="7"/>
  <c r="A2" i="6"/>
  <c r="O8" i="6"/>
  <c r="O7" i="6"/>
  <c r="O6" i="6"/>
  <c r="O5" i="6"/>
  <c r="H24" i="6"/>
  <c r="G23" i="6"/>
  <c r="I23" i="6" s="1"/>
  <c r="J23" i="6" s="1"/>
  <c r="G22" i="6"/>
  <c r="I22" i="6" s="1"/>
  <c r="J22" i="6" s="1"/>
  <c r="G21" i="6"/>
  <c r="I21" i="6" s="1"/>
  <c r="J21" i="6" s="1"/>
  <c r="G9" i="6"/>
  <c r="I9" i="6" s="1"/>
  <c r="J9" i="6" s="1"/>
  <c r="J5" i="6"/>
  <c r="I5" i="6"/>
  <c r="G5" i="6"/>
  <c r="F23" i="6" a="1"/>
  <c r="F23" i="6" s="1"/>
  <c r="E23" i="6" a="1"/>
  <c r="E23" i="6" s="1"/>
  <c r="F22" i="6" a="1"/>
  <c r="F22" i="6" s="1"/>
  <c r="E22" i="6" a="1"/>
  <c r="E22" i="6" s="1"/>
  <c r="F21" i="6" a="1"/>
  <c r="F21" i="6" s="1"/>
  <c r="E21" i="6" a="1"/>
  <c r="E21" i="6" s="1"/>
  <c r="F20" i="6" a="1"/>
  <c r="F20" i="6" s="1"/>
  <c r="E20" i="6" a="1"/>
  <c r="E20" i="6" s="1"/>
  <c r="F19" i="6" a="1"/>
  <c r="F19" i="6" s="1"/>
  <c r="E19" i="6" a="1"/>
  <c r="E19" i="6" s="1"/>
  <c r="F17" i="6" a="1"/>
  <c r="F17" i="6" s="1"/>
  <c r="F18" i="6" s="1"/>
  <c r="F16" i="6" a="1"/>
  <c r="F16" i="6" s="1"/>
  <c r="E16" i="6" a="1"/>
  <c r="E16" i="6" s="1"/>
  <c r="F15" i="6" a="1"/>
  <c r="F15" i="6" s="1"/>
  <c r="E15" i="6" a="1"/>
  <c r="E15" i="6" s="1"/>
  <c r="F12" i="6" a="1"/>
  <c r="F12" i="6" s="1"/>
  <c r="F13" i="6" s="1"/>
  <c r="E12" i="6" a="1"/>
  <c r="E12" i="6" s="1"/>
  <c r="E14" i="6" s="1"/>
  <c r="F11" i="6" a="1"/>
  <c r="F11" i="6" s="1"/>
  <c r="E11" i="6" a="1"/>
  <c r="E11" i="6" s="1"/>
  <c r="F10" i="6" a="1"/>
  <c r="F10" i="6" s="1"/>
  <c r="F9" i="6" a="1"/>
  <c r="F9" i="6" s="1"/>
  <c r="F8" i="6" a="1"/>
  <c r="F8" i="6" s="1"/>
  <c r="E8" i="6" a="1"/>
  <c r="E8" i="6" s="1"/>
  <c r="F7" i="6" a="1"/>
  <c r="F7" i="6" s="1"/>
  <c r="E7" i="6" a="1"/>
  <c r="E7" i="6" s="1"/>
  <c r="F6" i="6" a="1"/>
  <c r="F6" i="6" s="1"/>
  <c r="E6" i="6" a="1"/>
  <c r="E6" i="6" s="1"/>
  <c r="E10" i="6" a="1"/>
  <c r="E10" i="6" s="1"/>
  <c r="E9" i="6" a="1"/>
  <c r="E9" i="6" s="1"/>
  <c r="F5" i="6" a="1"/>
  <c r="F5" i="6" s="1"/>
  <c r="E5" i="6" a="1"/>
  <c r="E5" i="6" s="1"/>
  <c r="E24" i="5"/>
  <c r="C24" i="5"/>
  <c r="B24" i="5"/>
  <c r="D24" i="5" s="1"/>
  <c r="A24" i="5"/>
  <c r="C23" i="5"/>
  <c r="B23" i="5"/>
  <c r="A23" i="5"/>
  <c r="E22" i="5"/>
  <c r="C22" i="5"/>
  <c r="D22" i="5" s="1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C5" i="5"/>
  <c r="B5" i="5"/>
  <c r="A5" i="5"/>
  <c r="F26" i="4"/>
  <c r="E26" i="4"/>
  <c r="F25" i="4"/>
  <c r="E25" i="4"/>
  <c r="F24" i="4"/>
  <c r="E24" i="4"/>
  <c r="F15" i="4"/>
  <c r="E15" i="4"/>
  <c r="F11" i="4"/>
  <c r="E11" i="4"/>
  <c r="D26" i="4"/>
  <c r="C26" i="4"/>
  <c r="D25" i="4"/>
  <c r="C25" i="4"/>
  <c r="D24" i="4"/>
  <c r="C24" i="4"/>
  <c r="D23" i="4"/>
  <c r="D7" i="4" s="1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F13" i="4" s="1"/>
  <c r="C13" i="4"/>
  <c r="D12" i="4"/>
  <c r="C12" i="4"/>
  <c r="F12" i="4" s="1"/>
  <c r="D11" i="4"/>
  <c r="C11" i="4"/>
  <c r="B24" i="7"/>
  <c r="M6" i="1"/>
  <c r="M21" i="1"/>
  <c r="M22" i="1"/>
  <c r="M23" i="1"/>
  <c r="M24" i="1"/>
  <c r="M25" i="1"/>
  <c r="M26" i="1"/>
  <c r="M41" i="1"/>
  <c r="M42" i="1"/>
  <c r="M43" i="1"/>
  <c r="M44" i="1"/>
  <c r="M45" i="1"/>
  <c r="L6" i="1"/>
  <c r="L9" i="1"/>
  <c r="L10" i="1"/>
  <c r="L11" i="1"/>
  <c r="L12" i="1"/>
  <c r="L16" i="1"/>
  <c r="L17" i="1"/>
  <c r="L18" i="1"/>
  <c r="L20" i="1"/>
  <c r="L21" i="1"/>
  <c r="L22" i="1"/>
  <c r="L23" i="1"/>
  <c r="L24" i="1"/>
  <c r="L25" i="1"/>
  <c r="L26" i="1"/>
  <c r="L34" i="1"/>
  <c r="L36" i="1"/>
  <c r="L37" i="1"/>
  <c r="L38" i="1"/>
  <c r="L40" i="1"/>
  <c r="L41" i="1"/>
  <c r="L42" i="1"/>
  <c r="L43" i="1"/>
  <c r="L44" i="1"/>
  <c r="L45" i="1"/>
  <c r="J21" i="1"/>
  <c r="J22" i="1"/>
  <c r="J23" i="1"/>
  <c r="J24" i="1"/>
  <c r="J25" i="1"/>
  <c r="J41" i="1"/>
  <c r="J42" i="1"/>
  <c r="J43" i="1"/>
  <c r="J44" i="1"/>
  <c r="J45" i="1"/>
  <c r="D30" i="3"/>
  <c r="D21" i="5" l="1"/>
  <c r="G10" i="6"/>
  <c r="I10" i="6" s="1"/>
  <c r="J10" i="6" s="1"/>
  <c r="E13" i="4"/>
  <c r="G11" i="6"/>
  <c r="I11" i="6" s="1"/>
  <c r="J11" i="6" s="1"/>
  <c r="E23" i="5"/>
  <c r="E16" i="4"/>
  <c r="E12" i="4"/>
  <c r="E6" i="5"/>
  <c r="E16" i="5"/>
  <c r="E7" i="5"/>
  <c r="E21" i="5"/>
  <c r="G7" i="6"/>
  <c r="I7" i="6" s="1"/>
  <c r="J7" i="6" s="1"/>
  <c r="F16" i="4"/>
  <c r="E5" i="5"/>
  <c r="D5" i="5"/>
  <c r="G15" i="6"/>
  <c r="I15" i="6" s="1"/>
  <c r="J15" i="6" s="1"/>
  <c r="E12" i="5"/>
  <c r="F20" i="4"/>
  <c r="E21" i="4"/>
  <c r="E22" i="4"/>
  <c r="G19" i="6"/>
  <c r="I19" i="6" s="1"/>
  <c r="J19" i="6" s="1"/>
  <c r="C24" i="7"/>
  <c r="F21" i="4"/>
  <c r="G17" i="6"/>
  <c r="I17" i="6" s="1"/>
  <c r="J17" i="6" s="1"/>
  <c r="G16" i="6"/>
  <c r="I16" i="6" s="1"/>
  <c r="J16" i="6" s="1"/>
  <c r="E19" i="4"/>
  <c r="F19" i="4"/>
  <c r="F14" i="6"/>
  <c r="G14" i="6" s="1"/>
  <c r="E18" i="4"/>
  <c r="E9" i="5"/>
  <c r="E17" i="4"/>
  <c r="D8" i="5"/>
  <c r="G8" i="6"/>
  <c r="I8" i="6" s="1"/>
  <c r="J8" i="6" s="1"/>
  <c r="F17" i="4"/>
  <c r="F22" i="4"/>
  <c r="D18" i="5"/>
  <c r="E20" i="4"/>
  <c r="F18" i="4"/>
  <c r="G12" i="6"/>
  <c r="I12" i="6" s="1"/>
  <c r="J12" i="6" s="1"/>
  <c r="E13" i="6"/>
  <c r="G13" i="6" s="1"/>
  <c r="I13" i="6" s="1"/>
  <c r="J13" i="6" s="1"/>
  <c r="E11" i="5"/>
  <c r="E23" i="4"/>
  <c r="F23" i="4"/>
  <c r="G20" i="6"/>
  <c r="I20" i="6" s="1"/>
  <c r="J20" i="6" s="1"/>
  <c r="N7" i="6"/>
  <c r="P7" i="6" s="1"/>
  <c r="E10" i="5"/>
  <c r="D14" i="5"/>
  <c r="C25" i="5"/>
  <c r="D16" i="5"/>
  <c r="E19" i="5"/>
  <c r="E14" i="5"/>
  <c r="E14" i="4"/>
  <c r="E20" i="5"/>
  <c r="E15" i="5"/>
  <c r="D19" i="5"/>
  <c r="C23" i="7"/>
  <c r="B23" i="7"/>
  <c r="B17" i="5"/>
  <c r="E17" i="5" s="1"/>
  <c r="E18" i="6"/>
  <c r="G18" i="6" s="1"/>
  <c r="I18" i="6" s="1"/>
  <c r="J18" i="6" s="1"/>
  <c r="D11" i="5"/>
  <c r="B5" i="9"/>
  <c r="E8" i="5"/>
  <c r="D6" i="5"/>
  <c r="F14" i="4"/>
  <c r="G6" i="6"/>
  <c r="D13" i="5"/>
  <c r="E13" i="5"/>
  <c r="D10" i="5"/>
  <c r="D7" i="5"/>
  <c r="D15" i="5"/>
  <c r="E18" i="5"/>
  <c r="D23" i="5"/>
  <c r="D12" i="5"/>
  <c r="D20" i="5"/>
  <c r="D9" i="5"/>
  <c r="C7" i="4"/>
  <c r="F7" i="4" s="1"/>
  <c r="D6" i="4"/>
  <c r="C6" i="4"/>
  <c r="D5" i="4"/>
  <c r="D8" i="4"/>
  <c r="C8" i="4"/>
  <c r="C5" i="4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F24" i="6" l="1"/>
  <c r="E7" i="4"/>
  <c r="C21" i="7"/>
  <c r="B21" i="7"/>
  <c r="I14" i="6"/>
  <c r="J14" i="6" s="1"/>
  <c r="N6" i="6"/>
  <c r="P6" i="6" s="1"/>
  <c r="B19" i="7"/>
  <c r="C19" i="7"/>
  <c r="B25" i="7"/>
  <c r="C25" i="7"/>
  <c r="B22" i="7"/>
  <c r="C22" i="7"/>
  <c r="C20" i="7"/>
  <c r="B20" i="7"/>
  <c r="G24" i="6"/>
  <c r="E24" i="6"/>
  <c r="Q4" i="1"/>
  <c r="N5" i="6"/>
  <c r="P5" i="6" s="1"/>
  <c r="I6" i="6"/>
  <c r="J6" i="6" s="1"/>
  <c r="D17" i="5"/>
  <c r="B25" i="5"/>
  <c r="D25" i="5" s="1"/>
  <c r="A2" i="5"/>
  <c r="C16" i="7"/>
  <c r="B16" i="7"/>
  <c r="A2" i="4"/>
  <c r="F6" i="4"/>
  <c r="E6" i="4"/>
  <c r="F8" i="4"/>
  <c r="E8" i="4"/>
  <c r="F5" i="4"/>
  <c r="E5" i="4"/>
  <c r="L4" i="1"/>
  <c r="G4" i="1"/>
  <c r="P8" i="6" l="1"/>
  <c r="C26" i="7"/>
  <c r="B26" i="7"/>
  <c r="N8" i="6"/>
  <c r="G7" i="9"/>
  <c r="H7" i="9" s="1"/>
  <c r="D5" i="7"/>
  <c r="I24" i="6"/>
  <c r="E25" i="5"/>
  <c r="C5" i="7"/>
  <c r="G6" i="9"/>
  <c r="H6" i="9" s="1"/>
  <c r="M7" i="8"/>
  <c r="M6" i="8"/>
  <c r="M5" i="8"/>
  <c r="G5" i="9"/>
  <c r="H5" i="9" s="1"/>
  <c r="A5" i="7"/>
  <c r="C5" i="9" s="1"/>
  <c r="D5" i="9" s="1"/>
  <c r="B5" i="7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D622C8D0235E468994CD11F4B7B83F6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44560" y="0"/>
          <a:ext cx="5467350" cy="215265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<sst xmlns="http://schemas.openxmlformats.org/spreadsheetml/2006/main" count="510" uniqueCount="240">
  <si>
    <t>GELARAN MAJU SDN BHD</t>
  </si>
  <si>
    <t>PROJECT: THE CAPITOL / MSK</t>
  </si>
  <si>
    <t>LEVEL</t>
  </si>
  <si>
    <t>COLD WATER</t>
  </si>
  <si>
    <t>SANITARY</t>
  </si>
  <si>
    <t>IRRIGATION</t>
  </si>
  <si>
    <t>PIPE SLEEVE</t>
  </si>
  <si>
    <t>PUMP</t>
  </si>
  <si>
    <t>PUMP CONTROL PANEL</t>
  </si>
  <si>
    <t>TRANSFER PUMP PIPES</t>
  </si>
  <si>
    <t>L31 &amp; 31M ROOF PIPING</t>
  </si>
  <si>
    <t>CW TENANT</t>
  </si>
  <si>
    <t>BACKSHAFT CW &amp; FW TOILETS</t>
  </si>
  <si>
    <t>HOSEREEL FLOORTRAP &amp; STACK</t>
  </si>
  <si>
    <t>SANITARY TENANT</t>
  </si>
  <si>
    <t>TOILET PIPE DISTRIBUTION &amp; HACKING</t>
  </si>
  <si>
    <t>SANITARY TOILETS</t>
  </si>
  <si>
    <t>SANITARY WARES INSTALLATION</t>
  </si>
  <si>
    <t>IRRIGATION OUTLET</t>
  </si>
  <si>
    <t>IRRIGATION INLET</t>
  </si>
  <si>
    <t>IRRIGATION WIRING</t>
  </si>
  <si>
    <t>IRRIGATION CONTROL PANEL</t>
  </si>
  <si>
    <t>TOWER A</t>
  </si>
  <si>
    <t>N/A</t>
  </si>
  <si>
    <t>31M</t>
  </si>
  <si>
    <t>TOWER B</t>
  </si>
  <si>
    <t>n/a</t>
  </si>
  <si>
    <t>SUPAHAM</t>
  </si>
  <si>
    <t>LEADER</t>
  </si>
  <si>
    <t>ASSISTANT</t>
  </si>
  <si>
    <t>team 1</t>
  </si>
  <si>
    <t>SOLIHIN</t>
  </si>
  <si>
    <t>ASHRAFUL</t>
  </si>
  <si>
    <t>JIARUL</t>
  </si>
  <si>
    <t>YASIN</t>
  </si>
  <si>
    <t>team 2</t>
  </si>
  <si>
    <t>ASGAR</t>
  </si>
  <si>
    <t>RANA</t>
  </si>
  <si>
    <t>team 3</t>
  </si>
  <si>
    <t>SUHAIRI</t>
  </si>
  <si>
    <t>SUPENDI</t>
  </si>
  <si>
    <t>team 4</t>
  </si>
  <si>
    <t>BILAL</t>
  </si>
  <si>
    <t>FARHAD</t>
  </si>
  <si>
    <t>SOFIKUL</t>
  </si>
  <si>
    <t>SYAHIB</t>
  </si>
  <si>
    <t>AMIRUL</t>
  </si>
  <si>
    <t>NURUL</t>
  </si>
  <si>
    <t>NAZMUL</t>
  </si>
  <si>
    <t>team 5</t>
  </si>
  <si>
    <t>JUWEL</t>
  </si>
  <si>
    <t>BADOL</t>
  </si>
  <si>
    <t>team 6</t>
  </si>
  <si>
    <t>JILLUR</t>
  </si>
  <si>
    <t>ISLAM</t>
  </si>
  <si>
    <t>team 7</t>
  </si>
  <si>
    <t>SARIP</t>
  </si>
  <si>
    <t>team 8</t>
  </si>
  <si>
    <t>EMON</t>
  </si>
  <si>
    <t>MAHMUD</t>
  </si>
  <si>
    <t>team 9</t>
  </si>
  <si>
    <t>IBNU</t>
  </si>
  <si>
    <t>DAMIL</t>
  </si>
  <si>
    <t>team 10</t>
  </si>
  <si>
    <t>KAMAL</t>
  </si>
  <si>
    <t>GM</t>
  </si>
  <si>
    <t>SUBS</t>
  </si>
  <si>
    <t xml:space="preserve">AIPOON </t>
  </si>
  <si>
    <t>WELDER</t>
  </si>
  <si>
    <t>TOTAL</t>
  </si>
  <si>
    <t>PACKAGE</t>
  </si>
  <si>
    <t>Tower A</t>
  </si>
  <si>
    <t>Tower B</t>
  </si>
  <si>
    <t>Gap (A−B)</t>
  </si>
  <si>
    <t>Leader</t>
  </si>
  <si>
    <t>OVERALL</t>
  </si>
  <si>
    <t>Item</t>
  </si>
  <si>
    <t>Cold Water</t>
  </si>
  <si>
    <t>Pipe Sleeve</t>
  </si>
  <si>
    <t>Pump</t>
  </si>
  <si>
    <t>Pump Control Panel</t>
  </si>
  <si>
    <t>Transfer Pump Pipes</t>
  </si>
  <si>
    <t>L31 &amp; 31M Roof Piping</t>
  </si>
  <si>
    <t>CW Tenant</t>
  </si>
  <si>
    <t>Backshaft CW &amp; FW Toilets</t>
  </si>
  <si>
    <t>Sanitary</t>
  </si>
  <si>
    <t>Hosereel Floortrap &amp; Stack</t>
  </si>
  <si>
    <t>Sanitary Tenant</t>
  </si>
  <si>
    <t>Toilet Pipe Distribution &amp; Hacking</t>
  </si>
  <si>
    <t>Sanitary Toilets</t>
  </si>
  <si>
    <t>Sanitary Wares Installation</t>
  </si>
  <si>
    <t>Irrigation</t>
  </si>
  <si>
    <t>Irrigation Outlet</t>
  </si>
  <si>
    <t>Irrigation Inlet</t>
  </si>
  <si>
    <t>Irrigation Wiring</t>
  </si>
  <si>
    <t>Irrigation Control Panel</t>
  </si>
  <si>
    <t>Level</t>
  </si>
  <si>
    <t>Tower A vs Tower B  |  % complete</t>
  </si>
  <si>
    <t>Floor-by-floor  |  % complete</t>
  </si>
  <si>
    <t>Package</t>
  </si>
  <si>
    <t>Material</t>
  </si>
  <si>
    <t>Unit</t>
  </si>
  <si>
    <t>Qty / floor</t>
  </si>
  <si>
    <t>Remaining A</t>
  </si>
  <si>
    <t>Remaining B</t>
  </si>
  <si>
    <t>Required</t>
  </si>
  <si>
    <t>Ordered</t>
  </si>
  <si>
    <t>Balance</t>
  </si>
  <si>
    <t>Status</t>
  </si>
  <si>
    <t>Remarks</t>
  </si>
  <si>
    <t>Pipe sleeve</t>
  </si>
  <si>
    <t>nos</t>
  </si>
  <si>
    <t>Transfer pump pipes</t>
  </si>
  <si>
    <t>floor</t>
  </si>
  <si>
    <t>CW tenant pipework</t>
  </si>
  <si>
    <t>Backshaft CW &amp; FW pipe</t>
  </si>
  <si>
    <t>L31 &amp; 31M roof piping</t>
  </si>
  <si>
    <t>lot</t>
  </si>
  <si>
    <t>set</t>
  </si>
  <si>
    <t>Pump control panel</t>
  </si>
  <si>
    <t>Hosereel set</t>
  </si>
  <si>
    <t>Floor trap</t>
  </si>
  <si>
    <t>Sanitary stack pipe</t>
  </si>
  <si>
    <t>Toilet distribution pipe</t>
  </si>
  <si>
    <t>Sanitary tenant</t>
  </si>
  <si>
    <t>WC pan</t>
  </si>
  <si>
    <t>Wash basin</t>
  </si>
  <si>
    <t>Sanitary wares</t>
  </si>
  <si>
    <t>Irrigation outlet</t>
  </si>
  <si>
    <t>Irrigation inlet</t>
  </si>
  <si>
    <t>Irrigation cable</t>
  </si>
  <si>
    <t>Irrigation control panel</t>
  </si>
  <si>
    <t>Material Order | qty</t>
  </si>
  <si>
    <t>Site report | % complete</t>
  </si>
  <si>
    <t>Overall</t>
  </si>
  <si>
    <t>Men</t>
  </si>
  <si>
    <t>Day RM</t>
  </si>
  <si>
    <t>Weather</t>
  </si>
  <si>
    <t>Fair</t>
  </si>
  <si>
    <t>Shift</t>
  </si>
  <si>
    <t>Day</t>
  </si>
  <si>
    <t>Today</t>
  </si>
  <si>
    <t>Blockers</t>
  </si>
  <si>
    <t>Tomorrow</t>
  </si>
  <si>
    <t>Progress</t>
  </si>
  <si>
    <t>Owner</t>
  </si>
  <si>
    <t>PO log | RM</t>
  </si>
  <si>
    <t>Date</t>
  </si>
  <si>
    <t>PO No</t>
  </si>
  <si>
    <t>Supplier</t>
  </si>
  <si>
    <t>Qty</t>
  </si>
  <si>
    <t>Amount RM</t>
  </si>
  <si>
    <t>ETA</t>
  </si>
  <si>
    <t>Still to order</t>
  </si>
  <si>
    <t>Lines</t>
  </si>
  <si>
    <t>To Order</t>
  </si>
  <si>
    <t>Partial</t>
  </si>
  <si>
    <t>Complete</t>
  </si>
  <si>
    <t>Manpower vs progress</t>
  </si>
  <si>
    <t>On site</t>
  </si>
  <si>
    <t>RM / 1%</t>
  </si>
  <si>
    <t>Name</t>
  </si>
  <si>
    <t>Rate RM</t>
  </si>
  <si>
    <t>Cost today</t>
  </si>
  <si>
    <t>Remaining</t>
  </si>
  <si>
    <t>Transfer pump + hosereel</t>
  </si>
  <si>
    <t>Report Date: 12 SEPTEMBER 2026</t>
  </si>
  <si>
    <t>Bill Of Quantities</t>
  </si>
  <si>
    <t xml:space="preserve">RE: </t>
  </si>
  <si>
    <t>UPVC PIPE FOR TOILET, TENANT AND HOSEREEL FOR LEVEL 24- LEVEL 31 @ MSK</t>
  </si>
  <si>
    <t>ITEM</t>
  </si>
  <si>
    <t>DESCRIPTION</t>
  </si>
  <si>
    <t>QUANTITY/UNIT</t>
  </si>
  <si>
    <t>UNIT RATE (RM)</t>
  </si>
  <si>
    <t>PREVIOUS CLAIM (%)</t>
  </si>
  <si>
    <t>WORK DONE (%)</t>
  </si>
  <si>
    <t>AMOUNT</t>
  </si>
  <si>
    <t>SIGN / VERIFY</t>
  </si>
  <si>
    <t>A</t>
  </si>
  <si>
    <t>SANITARY SERVICES</t>
  </si>
  <si>
    <t>TOILET HIGH LEVEL AND DROPPER TOWER A &amp; B (4SET OF TOILET) AT L25-L31</t>
  </si>
  <si>
    <t>1.1</t>
  </si>
  <si>
    <t>To install UPVC pipe waste and vent pipes and vertical stack including all fittings, cleaning eyes, brackets, bends, joints, flexible joints, vent cowl, traps, floor traps, floor outlet, brackets, hangers, off-sets, supports, etc</t>
  </si>
  <si>
    <t>LEVEL 25</t>
  </si>
  <si>
    <t>Lot</t>
  </si>
  <si>
    <t>LEVEL 26</t>
  </si>
  <si>
    <t>LEVEL 27</t>
  </si>
  <si>
    <t>LEVEL 28</t>
  </si>
  <si>
    <t>LEVEL 29</t>
  </si>
  <si>
    <t>LEVEL 30</t>
  </si>
  <si>
    <t>LEVEL 31</t>
  </si>
  <si>
    <t>TENANT OUTLET AND DROPPER TOWER A &amp; B AT L25-L31</t>
  </si>
  <si>
    <t>2.1</t>
  </si>
  <si>
    <t>HOSEREEL OUTLET AND DROPPER TOWER A &amp; B AT L25-L31</t>
  </si>
  <si>
    <t>3.1</t>
  </si>
  <si>
    <t>ADDITIONAL</t>
  </si>
  <si>
    <t>TOILET HIGH LEVEL AND DROPPER TOWER A&amp;B (2SET OF TOILET) AT L24</t>
  </si>
  <si>
    <t>LEVEL 24 TOWER B</t>
  </si>
  <si>
    <t>LEVEL 24 TOWER A (BRICKWALL)</t>
  </si>
  <si>
    <t>TOTAL AMOUNT</t>
  </si>
  <si>
    <t>VERIFICATION</t>
  </si>
  <si>
    <t>Prepared by</t>
  </si>
  <si>
    <t>Checked by</t>
  </si>
  <si>
    <t>Verified / Approved</t>
  </si>
  <si>
    <t>Sign:</t>
  </si>
  <si>
    <t>Name: ALVIN</t>
  </si>
  <si>
    <t>Name: KHAIRUL</t>
  </si>
  <si>
    <t>Name: AH FATT</t>
  </si>
  <si>
    <t>Date:</t>
  </si>
  <si>
    <t>STAINLESS STEEL TRANSFER PUMP PIPE | TOWER A AND TOWER B @ MSK</t>
  </si>
  <si>
    <t>RATE: RM 80 PER METER, ADDITIONAL FITTINGS RM 150 PER NO. (ELBOW / CHECK VALVE), RM 80 PER SAMPLING POINT</t>
  </si>
  <si>
    <t>WORKER LABOUR</t>
  </si>
  <si>
    <t>1.0</t>
  </si>
  <si>
    <t>TOWER A  |  STAINLESS STEEL TRANSFER PUMP PIPE</t>
  </si>
  <si>
    <t>To install stainless steel transfer pump pipe</t>
  </si>
  <si>
    <t>LEVEL 13</t>
  </si>
  <si>
    <t>m</t>
  </si>
  <si>
    <t>LEVEL 14</t>
  </si>
  <si>
    <t>LEVEL 15</t>
  </si>
  <si>
    <t>LEVEL 16</t>
  </si>
  <si>
    <t>LEVEL 17</t>
  </si>
  <si>
    <t>LEVEL 18</t>
  </si>
  <si>
    <t>LEVEL 19</t>
  </si>
  <si>
    <t>LEVEL 20</t>
  </si>
  <si>
    <t>LEVEL 21</t>
  </si>
  <si>
    <t>LEVEL 22</t>
  </si>
  <si>
    <t>LEVEL 23</t>
  </si>
  <si>
    <t>LEVEL 24</t>
  </si>
  <si>
    <t>1.2</t>
  </si>
  <si>
    <t>Additional fittings. Rate RM150 per no. (elbow / check valve).</t>
  </si>
  <si>
    <t>LEVEL 13  |  ELBOW</t>
  </si>
  <si>
    <t>NOS</t>
  </si>
  <si>
    <t>LEVEL 14  |  ELBOW / CHECK VALVE</t>
  </si>
  <si>
    <t>LEVEL 21  |  ELBOW</t>
  </si>
  <si>
    <t>LEVEL 23  |  CHECK VALVE</t>
  </si>
  <si>
    <t>LEVEL 13  |  SAMPLING POINT</t>
  </si>
  <si>
    <t>LEVEL 23  |  SAMPLING POINT</t>
  </si>
  <si>
    <t>2.0</t>
  </si>
  <si>
    <t>TOWER B  |  STAINLESS STEEL TRANSFER PUMP PIPE</t>
  </si>
  <si>
    <t>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</si>
</sst>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%"/>
    <numFmt numFmtId="165" formatCode="\+0.0%;\-0.0%;\–"/>
    <numFmt numFmtId="166" formatCode="#,##0.0"/>
    <numFmt numFmtId="167" formatCode="&quot;RM&quot;#,##0"/>
    <numFmt numFmtId="168" formatCode="dd\-mmm\-yyyy"/>
    <numFmt numFmtId="172" formatCode="_-* #,##0.00_-;\-* #,##0.00_-;_-* \-??_-;_-@_-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6"/>
      <name val="Arial Narrow"/>
      <family val="2"/>
    </font>
    <font>
      <sz val="11"/>
      <color theme="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20"/>
      <name val="Arial Narrow"/>
      <family val="2"/>
    </font>
    <font>
      <b/>
      <sz val="20"/>
      <color theme="1"/>
      <name val="Arial Narrow"/>
      <family val="2"/>
    </font>
    <font>
      <b/>
      <sz val="20"/>
      <color theme="0"/>
      <name val="Arial Narrow"/>
      <family val="2"/>
    </font>
    <font>
      <b/>
      <sz val="28"/>
      <name val="Arial Narrow"/>
      <family val="2"/>
    </font>
    <font>
      <b/>
      <sz val="2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Arial Narrow"/>
    </font>
    <font>
      <sz val="11"/>
      <color theme="1"/>
      <name val="Arial Narrow"/>
    </font>
    <font>
      <i/>
      <sz val="11"/>
      <color theme="1"/>
      <name val="Arial Narrow"/>
    </font>
    <font>
      <b/>
      <sz val="11"/>
      <color rgb="FFFFFFFF"/>
      <name val="Arial Narrow"/>
    </font>
    <font>
      <b/>
      <sz val="11"/>
      <color theme="1"/>
      <name val="Arial Narrow"/>
    </font>
    <font>
      <sz val="11"/>
      <color rgb="FF006600"/>
      <name val="Arial Narrow"/>
    </font>
    <font>
      <b/>
      <sz val="11"/>
      <color rgb="FF006600"/>
      <name val="Arial Narrow"/>
    </font>
    <font>
      <sz val="11"/>
      <color rgb="FF0000FF"/>
      <name val="Arial Narrow"/>
    </font>
    <font>
      <b/>
      <sz val="14"/>
      <color rgb="FF006600"/>
      <name val="Arial Narrow"/>
    </font>
    <font>
      <b/>
      <sz val="14"/>
      <color theme="1"/>
      <name val="Arial Narrow"/>
    </font>
    <font>
      <sz val="11"/>
      <name val="Calibri"/>
      <charset val="134"/>
      <scheme val="minor"/>
    </font>
    <font>
      <b/>
      <sz val="10"/>
      <name val="Arial Narrow"/>
    </font>
    <font>
      <sz val="9"/>
      <color rgb="FF0000FF"/>
      <name val="Arial Narrow"/>
    </font>
    <font>
      <b/>
      <sz val="10"/>
      <name val="Arial Narrow"/>
      <family val="2"/>
    </font>
    <font>
      <b/>
      <sz val="10"/>
      <name val="Arial"/>
      <charset val="1"/>
    </font>
    <font>
      <sz val="10"/>
      <name val="Arial"/>
      <charset val="1"/>
    </font>
    <font>
      <sz val="11"/>
      <name val="Calibri"/>
      <charset val="1"/>
    </font>
    <font>
      <sz val="10"/>
      <color rgb="FF006600"/>
      <name val="Arial"/>
      <charset val="1"/>
    </font>
    <font>
      <sz val="10"/>
      <color rgb="FF0000FF"/>
      <name val="Arial"/>
      <charset val="1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1A5276"/>
      </patternFill>
    </fill>
    <fill>
      <patternFill patternType="solid">
        <fgColor theme="4" tint="0.79998168889431442"/>
        <bgColor rgb="FF4F81BD"/>
      </patternFill>
    </fill>
    <fill>
      <patternFill patternType="solid">
        <fgColor rgb="FFF2F3F4"/>
        <bgColor rgb="FFF9F9F9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rgb="FF7D3C98"/>
      </patternFill>
    </fill>
    <fill>
      <patternFill patternType="solid">
        <fgColor theme="7" tint="0.59999389629810485"/>
        <bgColor rgb="FFF1948A"/>
      </patternFill>
    </fill>
    <fill>
      <patternFill patternType="solid">
        <fgColor rgb="FFC0000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1948A"/>
      </patternFill>
    </fill>
    <fill>
      <patternFill patternType="solid">
        <fgColor rgb="FFFF0000"/>
        <bgColor rgb="FF7D3C98"/>
      </patternFill>
    </fill>
    <fill>
      <patternFill patternType="solid">
        <fgColor rgb="FFFF0000"/>
        <bgColor rgb="FF4F81BD"/>
      </patternFill>
    </fill>
    <fill>
      <patternFill patternType="solid">
        <fgColor theme="9"/>
        <bgColor indexed="64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theme="0"/>
        <bgColor rgb="FFFFF2CC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rgb="FF2F5496"/>
      </bottom>
      <diagonal/>
    </border>
    <border>
      <left/>
      <right/>
      <top/>
      <bottom style="double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4" fontId="4" fillId="0" borderId="0" applyFill="0" applyBorder="0">
      <alignment horizontal="right" vertical="center"/>
    </xf>
  </cellStyleXfs>
  <cellXfs count="19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/>
    </xf>
    <xf numFmtId="9" fontId="5" fillId="0" borderId="7" xfId="1" applyFont="1" applyFill="1" applyBorder="1" applyAlignment="1" applyProtection="1">
      <alignment horizontal="left" vertical="center"/>
    </xf>
    <xf numFmtId="9" fontId="5" fillId="0" borderId="15" xfId="1" applyFont="1" applyFill="1" applyBorder="1" applyAlignment="1" applyProtection="1">
      <alignment horizontal="left" vertical="center"/>
    </xf>
    <xf numFmtId="0" fontId="5" fillId="5" borderId="8" xfId="0" applyFont="1" applyFill="1" applyBorder="1" applyAlignment="1">
      <alignment horizontal="center" vertical="center" wrapText="1"/>
    </xf>
    <xf numFmtId="9" fontId="5" fillId="0" borderId="9" xfId="1" applyFont="1" applyFill="1" applyBorder="1" applyAlignment="1" applyProtection="1">
      <alignment horizontal="left" vertical="center"/>
    </xf>
    <xf numFmtId="9" fontId="5" fillId="0" borderId="16" xfId="1" applyFont="1" applyFill="1" applyBorder="1" applyAlignment="1" applyProtection="1">
      <alignment horizontal="left" vertical="center"/>
    </xf>
    <xf numFmtId="0" fontId="5" fillId="5" borderId="10" xfId="0" applyFont="1" applyFill="1" applyBorder="1" applyAlignment="1">
      <alignment horizontal="center" vertical="center" wrapText="1"/>
    </xf>
    <xf numFmtId="9" fontId="5" fillId="0" borderId="11" xfId="1" applyFont="1" applyFill="1" applyBorder="1" applyAlignment="1" applyProtection="1">
      <alignment horizontal="left" vertical="center"/>
    </xf>
    <xf numFmtId="0" fontId="6" fillId="0" borderId="0" xfId="0" applyFont="1">
      <alignment vertical="center"/>
    </xf>
    <xf numFmtId="9" fontId="6" fillId="0" borderId="0" xfId="1" applyFont="1">
      <alignment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9" fillId="0" borderId="0" xfId="0" applyFont="1">
      <alignment vertical="center"/>
    </xf>
    <xf numFmtId="9" fontId="5" fillId="9" borderId="7" xfId="1" applyFont="1" applyFill="1" applyBorder="1" applyAlignment="1" applyProtection="1">
      <alignment horizontal="left" vertical="center"/>
    </xf>
    <xf numFmtId="9" fontId="5" fillId="9" borderId="9" xfId="1" applyFont="1" applyFill="1" applyBorder="1" applyAlignment="1" applyProtection="1">
      <alignment horizontal="left" vertical="center"/>
    </xf>
    <xf numFmtId="9" fontId="5" fillId="9" borderId="11" xfId="1" applyFont="1" applyFill="1" applyBorder="1" applyAlignment="1" applyProtection="1">
      <alignment horizontal="left" vertical="center"/>
    </xf>
    <xf numFmtId="0" fontId="1" fillId="0" borderId="7" xfId="0" applyFont="1" applyBorder="1" applyAlignment="1"/>
    <xf numFmtId="0" fontId="0" fillId="0" borderId="7" xfId="0" applyBorder="1" applyAlignment="1"/>
    <xf numFmtId="0" fontId="0" fillId="0" borderId="7" xfId="0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2" borderId="7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14" fillId="10" borderId="0" xfId="0" applyFont="1" applyFill="1" applyAlignment="1">
      <alignment horizontal="center" vertical="center"/>
    </xf>
    <xf numFmtId="0" fontId="15" fillId="0" borderId="0" xfId="0" applyFont="1">
      <alignment vertical="center"/>
    </xf>
    <xf numFmtId="0" fontId="15" fillId="11" borderId="0" xfId="0" applyFont="1" applyFill="1" applyAlignment="1">
      <alignment horizontal="left" vertical="center"/>
    </xf>
    <xf numFmtId="164" fontId="15" fillId="11" borderId="0" xfId="0" applyNumberFormat="1" applyFont="1" applyFill="1" applyAlignment="1">
      <alignment horizontal="center" vertical="center"/>
    </xf>
    <xf numFmtId="165" fontId="15" fillId="11" borderId="0" xfId="0" applyNumberFormat="1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left" vertical="center"/>
    </xf>
    <xf numFmtId="164" fontId="15" fillId="12" borderId="0" xfId="0" applyNumberFormat="1" applyFont="1" applyFill="1" applyAlignment="1">
      <alignment horizontal="center" vertical="center"/>
    </xf>
    <xf numFmtId="165" fontId="15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left" vertical="center"/>
    </xf>
    <xf numFmtId="164" fontId="15" fillId="13" borderId="0" xfId="0" applyNumberFormat="1" applyFont="1" applyFill="1" applyAlignment="1">
      <alignment horizontal="center" vertical="center"/>
    </xf>
    <xf numFmtId="165" fontId="15" fillId="13" borderId="0" xfId="0" applyNumberFormat="1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2" fillId="11" borderId="0" xfId="0" applyFont="1" applyFill="1">
      <alignment vertical="center"/>
    </xf>
    <xf numFmtId="164" fontId="16" fillId="0" borderId="0" xfId="0" applyNumberFormat="1" applyFont="1" applyAlignment="1">
      <alignment horizontal="center" vertical="center"/>
    </xf>
    <xf numFmtId="0" fontId="12" fillId="12" borderId="0" xfId="0" applyFont="1" applyFill="1">
      <alignment vertical="center"/>
    </xf>
    <xf numFmtId="0" fontId="12" fillId="13" borderId="0" xfId="0" applyFont="1" applyFill="1">
      <alignment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7" fillId="14" borderId="0" xfId="0" applyFont="1" applyFill="1" applyAlignment="1">
      <alignment horizontal="center" vertical="center"/>
    </xf>
    <xf numFmtId="0" fontId="14" fillId="10" borderId="27" xfId="0" applyFont="1" applyFill="1" applyBorder="1" applyAlignment="1">
      <alignment horizontal="center" vertical="center"/>
    </xf>
    <xf numFmtId="164" fontId="14" fillId="10" borderId="27" xfId="0" applyNumberFormat="1" applyFont="1" applyFill="1" applyBorder="1" applyAlignment="1">
      <alignment horizontal="center" vertical="center"/>
    </xf>
    <xf numFmtId="165" fontId="14" fillId="10" borderId="27" xfId="0" applyNumberFormat="1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14" fillId="10" borderId="28" xfId="0" applyFont="1" applyFill="1" applyBorder="1" applyAlignment="1">
      <alignment horizontal="left" vertical="center"/>
    </xf>
    <xf numFmtId="0" fontId="0" fillId="10" borderId="28" xfId="0" applyFill="1" applyBorder="1">
      <alignment vertical="center"/>
    </xf>
    <xf numFmtId="164" fontId="14" fillId="10" borderId="28" xfId="0" applyNumberFormat="1" applyFont="1" applyFill="1" applyBorder="1" applyAlignment="1">
      <alignment horizontal="center" vertical="center"/>
    </xf>
    <xf numFmtId="165" fontId="14" fillId="10" borderId="28" xfId="0" applyNumberFormat="1" applyFont="1" applyFill="1" applyBorder="1" applyAlignment="1">
      <alignment horizontal="center" vertical="center"/>
    </xf>
    <xf numFmtId="0" fontId="14" fillId="10" borderId="28" xfId="0" applyFont="1" applyFill="1" applyBorder="1" applyAlignment="1">
      <alignment horizontal="center" vertical="center"/>
    </xf>
    <xf numFmtId="166" fontId="18" fillId="15" borderId="0" xfId="0" applyNumberFormat="1" applyFont="1" applyFill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8" fillId="15" borderId="0" xfId="0" applyFont="1" applyFill="1">
      <alignment vertical="center"/>
    </xf>
    <xf numFmtId="0" fontId="14" fillId="10" borderId="27" xfId="0" applyFont="1" applyFill="1" applyBorder="1" applyAlignment="1">
      <alignment horizontal="left" vertical="center"/>
    </xf>
    <xf numFmtId="0" fontId="14" fillId="10" borderId="27" xfId="0" applyFont="1" applyFill="1" applyBorder="1">
      <alignment vertical="center"/>
    </xf>
    <xf numFmtId="0" fontId="0" fillId="10" borderId="27" xfId="0" applyFill="1" applyBorder="1">
      <alignment vertical="center"/>
    </xf>
    <xf numFmtId="166" fontId="14" fillId="10" borderId="27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4" fontId="19" fillId="11" borderId="0" xfId="0" applyNumberFormat="1" applyFont="1" applyFill="1" applyAlignment="1">
      <alignment horizontal="center" vertical="center"/>
    </xf>
    <xf numFmtId="164" fontId="19" fillId="12" borderId="0" xfId="0" applyNumberFormat="1" applyFont="1" applyFill="1" applyAlignment="1">
      <alignment horizontal="center" vertical="center"/>
    </xf>
    <xf numFmtId="164" fontId="19" fillId="13" borderId="0" xfId="0" applyNumberFormat="1" applyFont="1" applyFill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8" fontId="18" fillId="15" borderId="0" xfId="0" applyNumberFormat="1" applyFont="1" applyFill="1">
      <alignment vertical="center"/>
    </xf>
    <xf numFmtId="167" fontId="18" fillId="15" borderId="0" xfId="0" applyNumberFormat="1" applyFont="1" applyFill="1" applyAlignment="1">
      <alignment horizontal="right" vertical="center"/>
    </xf>
    <xf numFmtId="167" fontId="14" fillId="10" borderId="27" xfId="0" applyNumberFormat="1" applyFont="1" applyFill="1" applyBorder="1" applyAlignment="1">
      <alignment horizontal="right" vertical="center"/>
    </xf>
    <xf numFmtId="3" fontId="16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right" vertical="center"/>
    </xf>
    <xf numFmtId="1" fontId="18" fillId="15" borderId="0" xfId="0" applyNumberFormat="1" applyFont="1" applyFill="1" applyAlignment="1">
      <alignment horizontal="center" vertical="center"/>
    </xf>
    <xf numFmtId="167" fontId="12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3" fontId="14" fillId="10" borderId="27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3" fillId="2" borderId="7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9" fontId="6" fillId="2" borderId="0" xfId="1" applyFont="1" applyFill="1">
      <alignment vertical="center"/>
    </xf>
    <xf numFmtId="0" fontId="1" fillId="16" borderId="0" xfId="0" applyFont="1" applyFill="1">
      <alignment vertical="center"/>
    </xf>
    <xf numFmtId="0" fontId="2" fillId="17" borderId="5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19" borderId="5" xfId="0" applyFont="1" applyFill="1" applyBorder="1" applyAlignment="1">
      <alignment horizontal="center" vertical="center" wrapText="1"/>
    </xf>
    <xf numFmtId="9" fontId="6" fillId="16" borderId="0" xfId="1" applyFont="1" applyFill="1">
      <alignment vertical="center"/>
    </xf>
    <xf numFmtId="9" fontId="7" fillId="6" borderId="23" xfId="1" applyFont="1" applyFill="1" applyBorder="1" applyAlignment="1" applyProtection="1">
      <alignment horizontal="left" vertical="center"/>
    </xf>
    <xf numFmtId="9" fontId="7" fillId="6" borderId="24" xfId="1" applyFont="1" applyFill="1" applyBorder="1" applyAlignment="1" applyProtection="1">
      <alignment horizontal="left" vertical="center"/>
    </xf>
    <xf numFmtId="9" fontId="7" fillId="6" borderId="5" xfId="1" applyFont="1" applyFill="1" applyBorder="1" applyAlignment="1" applyProtection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9" fontId="7" fillId="6" borderId="15" xfId="1" applyFont="1" applyFill="1" applyBorder="1" applyAlignment="1" applyProtection="1">
      <alignment horizontal="left" vertical="center"/>
    </xf>
    <xf numFmtId="9" fontId="7" fillId="6" borderId="17" xfId="1" applyFont="1" applyFill="1" applyBorder="1" applyAlignment="1" applyProtection="1">
      <alignment horizontal="left" vertical="center"/>
    </xf>
    <xf numFmtId="9" fontId="5" fillId="8" borderId="3" xfId="1" applyFont="1" applyFill="1" applyBorder="1" applyAlignment="1">
      <alignment horizontal="left" vertical="center" wrapText="1"/>
    </xf>
    <xf numFmtId="9" fontId="5" fillId="8" borderId="13" xfId="1" applyFont="1" applyFill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 textRotation="90"/>
    </xf>
    <xf numFmtId="0" fontId="6" fillId="0" borderId="24" xfId="0" applyFont="1" applyBorder="1" applyAlignment="1">
      <alignment horizontal="center" vertical="center" textRotation="90"/>
    </xf>
    <xf numFmtId="0" fontId="6" fillId="0" borderId="26" xfId="0" applyFont="1" applyBorder="1" applyAlignment="1">
      <alignment horizontal="center" vertical="center" textRotation="90"/>
    </xf>
    <xf numFmtId="0" fontId="6" fillId="0" borderId="23" xfId="0" applyFont="1" applyBorder="1" applyAlignment="1">
      <alignment horizontal="center" vertical="center" textRotation="90"/>
    </xf>
    <xf numFmtId="9" fontId="7" fillId="6" borderId="25" xfId="1" applyFont="1" applyFill="1" applyBorder="1" applyAlignment="1" applyProtection="1">
      <alignment horizontal="left" vertical="center"/>
    </xf>
    <xf numFmtId="0" fontId="8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left" vertical="center" wrapText="1"/>
    </xf>
    <xf numFmtId="9" fontId="5" fillId="4" borderId="2" xfId="1" applyFont="1" applyFill="1" applyBorder="1" applyAlignment="1">
      <alignment horizontal="right" vertical="center" wrapText="1"/>
    </xf>
    <xf numFmtId="9" fontId="5" fillId="4" borderId="3" xfId="1" applyFont="1" applyFill="1" applyBorder="1" applyAlignment="1">
      <alignment horizontal="right" vertical="center" wrapText="1"/>
    </xf>
    <xf numFmtId="9" fontId="5" fillId="4" borderId="3" xfId="1" applyFont="1" applyFill="1" applyBorder="1" applyAlignment="1">
      <alignment horizontal="left" vertical="center" wrapText="1"/>
    </xf>
    <xf numFmtId="9" fontId="5" fillId="4" borderId="12" xfId="1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right" vertical="center" wrapText="1"/>
    </xf>
    <xf numFmtId="0" fontId="5" fillId="7" borderId="3" xfId="0" applyFont="1" applyFill="1" applyBorder="1" applyAlignment="1">
      <alignment horizontal="right" vertical="center" wrapText="1"/>
    </xf>
    <xf numFmtId="9" fontId="5" fillId="7" borderId="3" xfId="1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right" vertical="center" wrapText="1"/>
    </xf>
    <xf numFmtId="0" fontId="5" fillId="8" borderId="3" xfId="0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8" fillId="15" borderId="0" xfId="0" applyFont="1" applyFill="1">
      <alignment vertical="center"/>
    </xf>
    <xf numFmtId="0" fontId="0" fillId="0" borderId="0" xfId="0">
      <alignment vertical="center"/>
    </xf>
    <xf numFmtId="0" fontId="23" fillId="20" borderId="7" xfId="0" applyFont="1" applyFill="1" applyBorder="1" applyAlignment="1">
      <alignment horizontal="center" vertical="center"/>
    </xf>
    <xf numFmtId="0" fontId="25" fillId="0" borderId="0" xfId="0" applyFont="1" applyAlignment="1"/>
    <xf numFmtId="0" fontId="0" fillId="0" borderId="0" xfId="0" applyAlignment="1"/>
    <xf numFmtId="0" fontId="26" fillId="0" borderId="0" xfId="0" applyFont="1" applyAlignment="1"/>
    <xf numFmtId="0" fontId="26" fillId="0" borderId="0" xfId="0" applyFont="1" applyAlignment="1">
      <alignment wrapText="1"/>
    </xf>
    <xf numFmtId="0" fontId="0" fillId="0" borderId="0" xfId="0" applyAlignment="1">
      <alignment wrapText="1"/>
    </xf>
    <xf numFmtId="0" fontId="25" fillId="21" borderId="7" xfId="0" applyFont="1" applyFill="1" applyBorder="1" applyAlignment="1">
      <alignment horizontal="center" wrapText="1"/>
    </xf>
    <xf numFmtId="0" fontId="25" fillId="21" borderId="7" xfId="0" applyFont="1" applyFill="1" applyBorder="1" applyAlignment="1">
      <alignment horizontal="center" wrapText="1"/>
    </xf>
    <xf numFmtId="0" fontId="25" fillId="22" borderId="0" xfId="0" applyFont="1" applyFill="1" applyAlignment="1"/>
    <xf numFmtId="0" fontId="25" fillId="22" borderId="0" xfId="0" applyFont="1" applyFill="1" applyAlignment="1">
      <alignment wrapText="1"/>
    </xf>
    <xf numFmtId="0" fontId="25" fillId="0" borderId="0" xfId="0" applyFont="1" applyAlignment="1">
      <alignment wrapText="1"/>
    </xf>
    <xf numFmtId="0" fontId="27" fillId="0" borderId="7" xfId="0" applyFont="1" applyBorder="1" applyAlignment="1"/>
    <xf numFmtId="0" fontId="26" fillId="0" borderId="7" xfId="0" applyFont="1" applyBorder="1" applyAlignment="1"/>
    <xf numFmtId="172" fontId="28" fillId="0" borderId="7" xfId="0" applyNumberFormat="1" applyFont="1" applyBorder="1" applyAlignment="1"/>
    <xf numFmtId="9" fontId="29" fillId="15" borderId="7" xfId="0" applyNumberFormat="1" applyFont="1" applyFill="1" applyBorder="1" applyAlignment="1"/>
    <xf numFmtId="172" fontId="26" fillId="23" borderId="7" xfId="0" applyNumberFormat="1" applyFont="1" applyFill="1" applyBorder="1" applyAlignment="1"/>
    <xf numFmtId="172" fontId="26" fillId="0" borderId="7" xfId="0" applyNumberFormat="1" applyFont="1" applyBorder="1" applyAlignment="1"/>
    <xf numFmtId="0" fontId="27" fillId="0" borderId="0" xfId="0" applyFont="1" applyAlignment="1"/>
    <xf numFmtId="172" fontId="26" fillId="0" borderId="0" xfId="0" applyNumberFormat="1" applyFont="1" applyAlignment="1"/>
    <xf numFmtId="9" fontId="26" fillId="0" borderId="0" xfId="0" applyNumberFormat="1" applyFont="1" applyAlignment="1"/>
    <xf numFmtId="0" fontId="25" fillId="24" borderId="7" xfId="0" applyFont="1" applyFill="1" applyBorder="1" applyAlignment="1"/>
    <xf numFmtId="172" fontId="25" fillId="24" borderId="7" xfId="0" applyNumberFormat="1" applyFont="1" applyFill="1" applyBorder="1" applyAlignment="1"/>
    <xf numFmtId="0" fontId="30" fillId="0" borderId="0" xfId="0" applyFont="1" applyAlignment="1"/>
    <xf numFmtId="0" fontId="31" fillId="0" borderId="0" xfId="0" applyFont="1" applyAlignment="1"/>
    <xf numFmtId="0" fontId="30" fillId="0" borderId="0" xfId="0" applyFont="1" applyAlignment="1">
      <alignment wrapText="1"/>
    </xf>
    <xf numFmtId="0" fontId="30" fillId="21" borderId="7" xfId="0" applyFont="1" applyFill="1" applyBorder="1" applyAlignment="1">
      <alignment horizontal="center" wrapText="1"/>
    </xf>
    <xf numFmtId="0" fontId="30" fillId="21" borderId="7" xfId="0" applyFont="1" applyFill="1" applyBorder="1" applyAlignment="1">
      <alignment horizontal="center" wrapText="1"/>
    </xf>
    <xf numFmtId="0" fontId="30" fillId="22" borderId="0" xfId="0" applyFont="1" applyFill="1" applyAlignment="1"/>
    <xf numFmtId="0" fontId="32" fillId="0" borderId="7" xfId="0" applyFont="1" applyBorder="1" applyAlignment="1"/>
    <xf numFmtId="0" fontId="30" fillId="0" borderId="7" xfId="0" applyFont="1" applyBorder="1" applyAlignment="1"/>
    <xf numFmtId="2" fontId="30" fillId="0" borderId="7" xfId="0" applyNumberFormat="1" applyFont="1" applyBorder="1" applyAlignment="1"/>
    <xf numFmtId="172" fontId="30" fillId="0" borderId="7" xfId="0" applyNumberFormat="1" applyFont="1" applyBorder="1" applyAlignment="1"/>
    <xf numFmtId="9" fontId="30" fillId="0" borderId="7" xfId="0" applyNumberFormat="1" applyFont="1" applyBorder="1" applyAlignment="1"/>
    <xf numFmtId="9" fontId="30" fillId="23" borderId="7" xfId="0" applyNumberFormat="1" applyFont="1" applyFill="1" applyBorder="1" applyAlignment="1"/>
    <xf numFmtId="172" fontId="30" fillId="23" borderId="7" xfId="0" applyNumberFormat="1" applyFont="1" applyFill="1" applyBorder="1" applyAlignment="1"/>
    <xf numFmtId="0" fontId="32" fillId="0" borderId="25" xfId="0" applyFont="1" applyBorder="1" applyAlignment="1"/>
    <xf numFmtId="0" fontId="30" fillId="0" borderId="25" xfId="0" applyFont="1" applyBorder="1" applyAlignment="1"/>
    <xf numFmtId="2" fontId="30" fillId="0" borderId="25" xfId="0" applyNumberFormat="1" applyFont="1" applyBorder="1" applyAlignment="1"/>
    <xf numFmtId="172" fontId="30" fillId="0" borderId="25" xfId="0" applyNumberFormat="1" applyFont="1" applyBorder="1" applyAlignment="1"/>
    <xf numFmtId="9" fontId="30" fillId="0" borderId="25" xfId="0" applyNumberFormat="1" applyFont="1" applyBorder="1" applyAlignment="1"/>
    <xf numFmtId="9" fontId="30" fillId="23" borderId="25" xfId="0" applyNumberFormat="1" applyFont="1" applyFill="1" applyBorder="1" applyAlignment="1"/>
    <xf numFmtId="172" fontId="30" fillId="23" borderId="25" xfId="0" applyNumberFormat="1" applyFont="1" applyFill="1" applyBorder="1" applyAlignment="1"/>
    <xf numFmtId="0" fontId="32" fillId="25" borderId="29" xfId="0" applyFont="1" applyFill="1" applyBorder="1" applyAlignment="1"/>
    <xf numFmtId="0" fontId="30" fillId="25" borderId="31" xfId="0" applyFont="1" applyFill="1" applyBorder="1" applyAlignment="1"/>
    <xf numFmtId="2" fontId="30" fillId="25" borderId="31" xfId="0" applyNumberFormat="1" applyFont="1" applyFill="1" applyBorder="1" applyAlignment="1"/>
    <xf numFmtId="172" fontId="30" fillId="25" borderId="31" xfId="0" applyNumberFormat="1" applyFont="1" applyFill="1" applyBorder="1" applyAlignment="1"/>
    <xf numFmtId="9" fontId="30" fillId="25" borderId="31" xfId="0" applyNumberFormat="1" applyFont="1" applyFill="1" applyBorder="1" applyAlignment="1"/>
    <xf numFmtId="0" fontId="30" fillId="25" borderId="30" xfId="0" applyFont="1" applyFill="1" applyBorder="1" applyAlignment="1"/>
    <xf numFmtId="0" fontId="32" fillId="0" borderId="5" xfId="0" applyFont="1" applyBorder="1" applyAlignment="1"/>
    <xf numFmtId="0" fontId="30" fillId="0" borderId="5" xfId="0" applyFont="1" applyBorder="1" applyAlignment="1"/>
    <xf numFmtId="2" fontId="30" fillId="0" borderId="5" xfId="0" applyNumberFormat="1" applyFont="1" applyBorder="1" applyAlignment="1"/>
    <xf numFmtId="172" fontId="30" fillId="0" borderId="5" xfId="0" applyNumberFormat="1" applyFont="1" applyBorder="1" applyAlignment="1"/>
    <xf numFmtId="9" fontId="30" fillId="0" borderId="5" xfId="0" applyNumberFormat="1" applyFont="1" applyBorder="1" applyAlignment="1"/>
    <xf numFmtId="9" fontId="30" fillId="23" borderId="5" xfId="0" applyNumberFormat="1" applyFont="1" applyFill="1" applyBorder="1" applyAlignment="1"/>
    <xf numFmtId="172" fontId="30" fillId="23" borderId="5" xfId="0" applyNumberFormat="1" applyFont="1" applyFill="1" applyBorder="1" applyAlignment="1"/>
    <xf numFmtId="0" fontId="30" fillId="25" borderId="0" xfId="0" applyFont="1" applyFill="1" applyAlignment="1"/>
    <xf numFmtId="0" fontId="30" fillId="24" borderId="7" xfId="0" applyFont="1" applyFill="1" applyBorder="1" applyAlignment="1"/>
    <xf numFmtId="172" fontId="30" fillId="24" borderId="7" xfId="0" applyNumberFormat="1" applyFont="1" applyFill="1" applyBorder="1" applyAlignment="1"/>
  </cellXfs>
  <cellStyles count="3">
    <cellStyle name="Date" xfId="2" xr:uid="{9D3DB538-AA64-41F4-80AD-C077B7268AE5}"/>
    <cellStyle name="Normal" xfId="0" builtinId="0"/>
    <cellStyle name="Percent" xfId="1" builtinId="5"/>
  </cellStyles>
  <dxfs count="61"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8" formatCode="dd\-mmm\-yyyy"/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7" formatCode="&quot;RM&quot;#,##0"/>
      <fill>
        <patternFill patternType="solid">
          <fgColor indexed="64"/>
          <bgColor rgb="FFE6F0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6" formatCode="#,##0.0"/>
      <fill>
        <patternFill patternType="solid">
          <fgColor indexed="64"/>
          <bgColor rgb="FFE6F0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8" formatCode="dd\-mmm\-yyyy"/>
      <fill>
        <patternFill patternType="solid">
          <fgColor indexed="64"/>
          <bgColor rgb="FFE6F0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arrow"/>
        <scheme val="none"/>
      </font>
      <fill>
        <patternFill patternType="solid">
          <fgColor indexed="64"/>
          <bgColor rgb="FF2F549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166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6" formatCode="#,##0.0"/>
      <fill>
        <patternFill patternType="solid">
          <fgColor indexed="64"/>
          <bgColor rgb="FFE6F0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166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600"/>
        <name val="Arial Narrow"/>
        <scheme val="none"/>
      </font>
      <numFmt numFmtId="166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600"/>
        <name val="Arial Narrow"/>
        <scheme val="none"/>
      </font>
      <numFmt numFmtId="166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6" formatCode="#,##0.0"/>
      <fill>
        <patternFill patternType="solid">
          <fgColor indexed="64"/>
          <bgColor rgb="FFE6F0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rgb="FFFFE69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arrow"/>
        <scheme val="none"/>
      </font>
      <fill>
        <patternFill patternType="solid">
          <fgColor indexed="64"/>
          <bgColor rgb="FF2F5496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  <tableStyleElement type="firstColumnStripe" dxfId="54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  <tableStyle name="To-Do List" pivot="0" count="1" xr9:uid="{1D4D0298-4E7D-4E52-96A9-B86E65A69CDC}">
      <tableStyleElement type="wholeTable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www.wps.cn/officeDocument/2020/cellImage" Target="cellimage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Transfer-pump pipes is the gap — B 40% vs A 8%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COMPARE!$C$10</c:f>
              <c:strCache>
                <c:ptCount val="1"/>
                <c:pt idx="0">
                  <c:v>Tower A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COMPARE!$B$11:$B$26</c:f>
              <c:strCache>
                <c:ptCount val="16"/>
                <c:pt idx="0">
                  <c:v>Pipe Sleeve</c:v>
                </c:pt>
                <c:pt idx="1">
                  <c:v>Pump</c:v>
                </c:pt>
                <c:pt idx="2">
                  <c:v>Pump Control Panel</c:v>
                </c:pt>
                <c:pt idx="3">
                  <c:v>Transfer Pump Pipes</c:v>
                </c:pt>
                <c:pt idx="4">
                  <c:v>L31 &amp; 31M Roof Piping</c:v>
                </c:pt>
                <c:pt idx="5">
                  <c:v>CW Tenant</c:v>
                </c:pt>
                <c:pt idx="6">
                  <c:v>Backshaft CW &amp; FW Toilets</c:v>
                </c:pt>
                <c:pt idx="7">
                  <c:v>Hosereel Floortrap &amp; Stack</c:v>
                </c:pt>
                <c:pt idx="8">
                  <c:v>Sanitary Tenant</c:v>
                </c:pt>
                <c:pt idx="9">
                  <c:v>Toilet Pipe Distribution &amp; Hacking</c:v>
                </c:pt>
                <c:pt idx="10">
                  <c:v>Sanitary Toilets</c:v>
                </c:pt>
                <c:pt idx="11">
                  <c:v>Sanitary Wares Installation</c:v>
                </c:pt>
                <c:pt idx="12">
                  <c:v>Irrigation Outlet</c:v>
                </c:pt>
                <c:pt idx="13">
                  <c:v>Irrigation Inlet</c:v>
                </c:pt>
                <c:pt idx="14">
                  <c:v>Irrigation Wiring</c:v>
                </c:pt>
                <c:pt idx="15">
                  <c:v>Irrigation Control Panel</c:v>
                </c:pt>
              </c:strCache>
            </c:strRef>
          </c:cat>
          <c:val>
            <c:numRef>
              <c:f>COMPARE!$C$11:$C$26</c:f>
              <c:numCache>
                <c:formatCode>0.0%</c:formatCode>
                <c:ptCount val="16"/>
                <c:pt idx="0">
                  <c:v>0.93250000000000011</c:v>
                </c:pt>
                <c:pt idx="1">
                  <c:v>0.47499999999999998</c:v>
                </c:pt>
                <c:pt idx="2">
                  <c:v>0.47499999999999998</c:v>
                </c:pt>
                <c:pt idx="3">
                  <c:v>0.75999999999999979</c:v>
                </c:pt>
                <c:pt idx="4">
                  <c:v>0</c:v>
                </c:pt>
                <c:pt idx="5">
                  <c:v>0.80749999999999977</c:v>
                </c:pt>
                <c:pt idx="6">
                  <c:v>0.14249999999999999</c:v>
                </c:pt>
                <c:pt idx="7">
                  <c:v>0.5774999999999999</c:v>
                </c:pt>
                <c:pt idx="8">
                  <c:v>0.5774999999999999</c:v>
                </c:pt>
                <c:pt idx="9">
                  <c:v>0.4</c:v>
                </c:pt>
                <c:pt idx="10">
                  <c:v>0.66499999999999981</c:v>
                </c:pt>
                <c:pt idx="11">
                  <c:v>0.14749999999999999</c:v>
                </c:pt>
                <c:pt idx="12">
                  <c:v>0.2</c:v>
                </c:pt>
                <c:pt idx="13">
                  <c:v>4.4999999999999998E-2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A-41F3-9F4D-ADC98A143F77}"/>
            </c:ext>
          </c:extLst>
        </c:ser>
        <c:ser>
          <c:idx val="1"/>
          <c:order val="1"/>
          <c:tx>
            <c:strRef>
              <c:f>COMPARE!$D$10</c:f>
              <c:strCache>
                <c:ptCount val="1"/>
                <c:pt idx="0">
                  <c:v>Tower B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COMPARE!$B$11:$B$26</c:f>
              <c:strCache>
                <c:ptCount val="16"/>
                <c:pt idx="0">
                  <c:v>Pipe Sleeve</c:v>
                </c:pt>
                <c:pt idx="1">
                  <c:v>Pump</c:v>
                </c:pt>
                <c:pt idx="2">
                  <c:v>Pump Control Panel</c:v>
                </c:pt>
                <c:pt idx="3">
                  <c:v>Transfer Pump Pipes</c:v>
                </c:pt>
                <c:pt idx="4">
                  <c:v>L31 &amp; 31M Roof Piping</c:v>
                </c:pt>
                <c:pt idx="5">
                  <c:v>CW Tenant</c:v>
                </c:pt>
                <c:pt idx="6">
                  <c:v>Backshaft CW &amp; FW Toilets</c:v>
                </c:pt>
                <c:pt idx="7">
                  <c:v>Hosereel Floortrap &amp; Stack</c:v>
                </c:pt>
                <c:pt idx="8">
                  <c:v>Sanitary Tenant</c:v>
                </c:pt>
                <c:pt idx="9">
                  <c:v>Toilet Pipe Distribution &amp; Hacking</c:v>
                </c:pt>
                <c:pt idx="10">
                  <c:v>Sanitary Toilets</c:v>
                </c:pt>
                <c:pt idx="11">
                  <c:v>Sanitary Wares Installation</c:v>
                </c:pt>
                <c:pt idx="12">
                  <c:v>Irrigation Outlet</c:v>
                </c:pt>
                <c:pt idx="13">
                  <c:v>Irrigation Inlet</c:v>
                </c:pt>
                <c:pt idx="14">
                  <c:v>Irrigation Wiring</c:v>
                </c:pt>
                <c:pt idx="15">
                  <c:v>Irrigation Control Panel</c:v>
                </c:pt>
              </c:strCache>
            </c:strRef>
          </c:cat>
          <c:val>
            <c:numRef>
              <c:f>COMPARE!$D$11:$D$26</c:f>
              <c:numCache>
                <c:formatCode>0.0%</c:formatCode>
                <c:ptCount val="16"/>
                <c:pt idx="0">
                  <c:v>0.93</c:v>
                </c:pt>
                <c:pt idx="1">
                  <c:v>0.47499999999999998</c:v>
                </c:pt>
                <c:pt idx="2">
                  <c:v>0.47499999999999998</c:v>
                </c:pt>
                <c:pt idx="3">
                  <c:v>0.33250000000000002</c:v>
                </c:pt>
                <c:pt idx="4">
                  <c:v>0</c:v>
                </c:pt>
                <c:pt idx="5">
                  <c:v>0.75999999999999979</c:v>
                </c:pt>
                <c:pt idx="6">
                  <c:v>0.1</c:v>
                </c:pt>
                <c:pt idx="7">
                  <c:v>0.5774999999999999</c:v>
                </c:pt>
                <c:pt idx="8">
                  <c:v>0.5774999999999999</c:v>
                </c:pt>
                <c:pt idx="9">
                  <c:v>0.39</c:v>
                </c:pt>
                <c:pt idx="10">
                  <c:v>0.64249999999999985</c:v>
                </c:pt>
                <c:pt idx="11">
                  <c:v>0.14749999999999999</c:v>
                </c:pt>
                <c:pt idx="12">
                  <c:v>0.2</c:v>
                </c:pt>
                <c:pt idx="13">
                  <c:v>4.4999999999999998E-2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A-41F3-9F4D-ADC98A143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028672"/>
        <c:axId val="1963350496"/>
      </c:barChart>
      <c:catAx>
        <c:axId val="2402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50496"/>
        <c:crosses val="autoZero"/>
        <c:auto val="1"/>
        <c:lblAlgn val="ctr"/>
        <c:lblOffset val="100"/>
        <c:noMultiLvlLbl val="0"/>
      </c:catAx>
      <c:valAx>
        <c:axId val="1963350496"/>
        <c:scaling>
          <c:orientation val="minMax"/>
          <c:max val="1"/>
          <c:min val="0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Qty still required by package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ORDER!$N$4</c:f>
              <c:strCache>
                <c:ptCount val="1"/>
                <c:pt idx="0">
                  <c:v>Required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ORDER!$M$5:$M$7</c:f>
              <c:strCache>
                <c:ptCount val="3"/>
                <c:pt idx="0">
                  <c:v>Cold Water</c:v>
                </c:pt>
                <c:pt idx="1">
                  <c:v>Sanitary</c:v>
                </c:pt>
                <c:pt idx="2">
                  <c:v>Irrigation</c:v>
                </c:pt>
              </c:strCache>
            </c:strRef>
          </c:cat>
          <c:val>
            <c:numRef>
              <c:f>ORDER!$N$5:$N$7</c:f>
              <c:numCache>
                <c:formatCode>#,##0.0</c:formatCode>
                <c:ptCount val="3"/>
                <c:pt idx="0">
                  <c:v>72.899999999999991</c:v>
                </c:pt>
                <c:pt idx="1">
                  <c:v>405.69999999999993</c:v>
                </c:pt>
                <c:pt idx="2">
                  <c:v>114.2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6-42F6-BC6D-9F322A8A5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2322336"/>
        <c:axId val="1963297216"/>
      </c:barChart>
      <c:catAx>
        <c:axId val="196232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297216"/>
        <c:crosses val="autoZero"/>
        <c:auto val="1"/>
        <c:lblAlgn val="ctr"/>
        <c:lblOffset val="100"/>
        <c:noMultiLvlLbl val="0"/>
      </c:catAx>
      <c:valAx>
        <c:axId val="1963297216"/>
        <c:scaling>
          <c:orientation val="minMax"/>
          <c:min val="0"/>
        </c:scaling>
        <c:delete val="0"/>
        <c:axPos val="b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2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Tower B ahead on 8 floors, Tower A on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FLOORS!$B$4</c:f>
              <c:strCache>
                <c:ptCount val="1"/>
                <c:pt idx="0">
                  <c:v>Tower A</c:v>
                </c:pt>
              </c:strCache>
            </c:strRef>
          </c:tx>
          <c:spPr>
            <a:ln w="28575" cap="rnd">
              <a:solidFill>
                <a:srgbClr val="2F54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FLOORS!$A$5:$A$24</c:f>
              <c:strCache>
                <c:ptCount val="2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31M</c:v>
                </c:pt>
              </c:strCache>
            </c:strRef>
          </c:cat>
          <c:val>
            <c:numRef>
              <c:f>FLOORS!$B$5:$B$24</c:f>
              <c:numCache>
                <c:formatCode>0.0%</c:formatCode>
                <c:ptCount val="20"/>
                <c:pt idx="0">
                  <c:v>0.55833333333333335</c:v>
                </c:pt>
                <c:pt idx="1">
                  <c:v>0.79999999999999993</c:v>
                </c:pt>
                <c:pt idx="2">
                  <c:v>0.79583333333333328</c:v>
                </c:pt>
                <c:pt idx="3">
                  <c:v>0.72499999999999998</c:v>
                </c:pt>
                <c:pt idx="4">
                  <c:v>0.49583333333333335</c:v>
                </c:pt>
                <c:pt idx="5">
                  <c:v>0.49583333333333335</c:v>
                </c:pt>
                <c:pt idx="6">
                  <c:v>0.48750000000000004</c:v>
                </c:pt>
                <c:pt idx="7">
                  <c:v>0.49583333333333335</c:v>
                </c:pt>
                <c:pt idx="8">
                  <c:v>0.47916666666666669</c:v>
                </c:pt>
                <c:pt idx="9">
                  <c:v>0.51538461538461544</c:v>
                </c:pt>
                <c:pt idx="10">
                  <c:v>0.40416666666666662</c:v>
                </c:pt>
                <c:pt idx="11">
                  <c:v>0.40416666666666662</c:v>
                </c:pt>
                <c:pt idx="12">
                  <c:v>0.47916666666666669</c:v>
                </c:pt>
                <c:pt idx="13">
                  <c:v>0.55833333333333335</c:v>
                </c:pt>
                <c:pt idx="14">
                  <c:v>0.47916666666666669</c:v>
                </c:pt>
                <c:pt idx="15">
                  <c:v>0.24166666666666667</c:v>
                </c:pt>
                <c:pt idx="16">
                  <c:v>0.16250000000000001</c:v>
                </c:pt>
                <c:pt idx="17">
                  <c:v>8.3333333333333329E-2</c:v>
                </c:pt>
                <c:pt idx="18">
                  <c:v>0.16333333333333336</c:v>
                </c:pt>
                <c:pt idx="19">
                  <c:v>6.2500000000000003E-3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2D-4100-83A1-F2A99D7338F3}"/>
            </c:ext>
          </c:extLst>
        </c:ser>
        <c:ser>
          <c:idx val="1"/>
          <c:order val="1"/>
          <c:tx>
            <c:strRef>
              <c:f>FLOORS!$C$4</c:f>
              <c:strCache>
                <c:ptCount val="1"/>
                <c:pt idx="0">
                  <c:v>Tower B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FLOORS!$A$5:$A$24</c:f>
              <c:strCache>
                <c:ptCount val="2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31M</c:v>
                </c:pt>
              </c:strCache>
            </c:strRef>
          </c:cat>
          <c:val>
            <c:numRef>
              <c:f>FLOORS!$C$5:$C$24</c:f>
              <c:numCache>
                <c:formatCode>0.0%</c:formatCode>
                <c:ptCount val="20"/>
                <c:pt idx="0">
                  <c:v>0.55833333333333335</c:v>
                </c:pt>
                <c:pt idx="1">
                  <c:v>0.79999999999999993</c:v>
                </c:pt>
                <c:pt idx="2">
                  <c:v>0.79583333333333328</c:v>
                </c:pt>
                <c:pt idx="3">
                  <c:v>0.65</c:v>
                </c:pt>
                <c:pt idx="4">
                  <c:v>0.49166666666666664</c:v>
                </c:pt>
                <c:pt idx="5">
                  <c:v>0.49166666666666664</c:v>
                </c:pt>
                <c:pt idx="6">
                  <c:v>0.48333333333333334</c:v>
                </c:pt>
                <c:pt idx="7">
                  <c:v>0.41666666666666669</c:v>
                </c:pt>
                <c:pt idx="8">
                  <c:v>0.39999999999999997</c:v>
                </c:pt>
                <c:pt idx="9">
                  <c:v>0.44230769230769229</c:v>
                </c:pt>
                <c:pt idx="10">
                  <c:v>0.32500000000000001</c:v>
                </c:pt>
                <c:pt idx="11">
                  <c:v>0.28750000000000003</c:v>
                </c:pt>
                <c:pt idx="12">
                  <c:v>0.39999999999999997</c:v>
                </c:pt>
                <c:pt idx="13">
                  <c:v>0.47916666666666669</c:v>
                </c:pt>
                <c:pt idx="14">
                  <c:v>0.39999999999999997</c:v>
                </c:pt>
                <c:pt idx="15">
                  <c:v>0.16250000000000001</c:v>
                </c:pt>
                <c:pt idx="16">
                  <c:v>8.3333333333333329E-2</c:v>
                </c:pt>
                <c:pt idx="17">
                  <c:v>8.3333333333333329E-2</c:v>
                </c:pt>
                <c:pt idx="18">
                  <c:v>0.16</c:v>
                </c:pt>
                <c:pt idx="19">
                  <c:v>6.2500000000000003E-3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2D-4100-83A1-F2A99D733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6144"/>
        <c:axId val="23594560"/>
      </c:lineChart>
      <c:catAx>
        <c:axId val="136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4560"/>
        <c:crosses val="autoZero"/>
        <c:auto val="1"/>
        <c:lblAlgn val="ctr"/>
        <c:lblOffset val="100"/>
        <c:noMultiLvlLbl val="0"/>
      </c:catAx>
      <c:valAx>
        <c:axId val="2359456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% complete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Package % complete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549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'SITE REPORT'!$B$4:$D$4</c:f>
              <c:strCache>
                <c:ptCount val="3"/>
                <c:pt idx="0">
                  <c:v>Cold Water</c:v>
                </c:pt>
                <c:pt idx="1">
                  <c:v>Sanitary</c:v>
                </c:pt>
                <c:pt idx="2">
                  <c:v>Irrigation</c:v>
                </c:pt>
              </c:strCache>
            </c:strRef>
          </c:cat>
          <c:val>
            <c:numRef>
              <c:f>'SITE REPORT'!$B$5:$D$5</c:f>
              <c:numCache>
                <c:formatCode>0.0%</c:formatCode>
                <c:ptCount val="3"/>
                <c:pt idx="0">
                  <c:v>0.47607142857142842</c:v>
                </c:pt>
                <c:pt idx="1">
                  <c:v>0.47024999999999978</c:v>
                </c:pt>
                <c:pt idx="2">
                  <c:v>6.1249999999999999E-2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8-4C44-B186-C2646FA0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694336"/>
        <c:axId val="23593600"/>
      </c:barChart>
      <c:catAx>
        <c:axId val="202169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3600"/>
        <c:crosses val="autoZero"/>
        <c:auto val="1"/>
        <c:lblAlgn val="ctr"/>
        <c:lblOffset val="100"/>
        <c:noMultiLvlLbl val="0"/>
      </c:catAx>
      <c:valAx>
        <c:axId val="23593600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9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Remaining work is irrigation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MANPOWER!$G$4</c:f>
              <c:strCache>
                <c:ptCount val="1"/>
                <c:pt idx="0">
                  <c:v>Progress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MANPOWER!$F$5:$F$7</c:f>
              <c:strCache>
                <c:ptCount val="3"/>
                <c:pt idx="0">
                  <c:v>Cold Water</c:v>
                </c:pt>
                <c:pt idx="1">
                  <c:v>Sanitary</c:v>
                </c:pt>
                <c:pt idx="2">
                  <c:v>Irrigation</c:v>
                </c:pt>
              </c:strCache>
            </c:strRef>
          </c:cat>
          <c:val>
            <c:numRef>
              <c:f>MANPOWER!$G$5:$G$7</c:f>
              <c:numCache>
                <c:formatCode>0.0%</c:formatCode>
                <c:ptCount val="3"/>
                <c:pt idx="0">
                  <c:v>0.47607142857142842</c:v>
                </c:pt>
                <c:pt idx="1">
                  <c:v>0.47024999999999978</c:v>
                </c:pt>
                <c:pt idx="2">
                  <c:v>6.1249999999999999E-2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D-4843-B6DC-1B93E37B2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1702688"/>
        <c:axId val="2035338624"/>
      </c:barChart>
      <c:catAx>
        <c:axId val="202170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338624"/>
        <c:crosses val="autoZero"/>
        <c:auto val="1"/>
        <c:lblAlgn val="ctr"/>
        <c:lblOffset val="100"/>
        <c:noMultiLvlLbl val="0"/>
      </c:catAx>
      <c:valAx>
        <c:axId val="2035338624"/>
        <c:scaling>
          <c:orientation val="minMax"/>
          <c:max val="1"/>
          <c:min val="0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0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TradesAvB">
          <a:extLst>
            <a:ext uri="{FF2B5EF4-FFF2-40B4-BE49-F238E27FC236}">
              <a16:creationId xmlns:a16="http://schemas.microsoft.com/office/drawing/2014/main" id="{001F1815-BB6B-D790-A2DA-5C24AD7E7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2" name="OrderByPackage">
          <a:extLst>
            <a:ext uri="{FF2B5EF4-FFF2-40B4-BE49-F238E27FC236}">
              <a16:creationId xmlns:a16="http://schemas.microsoft.com/office/drawing/2014/main" id="{6E721385-D3A5-C9D1-4BAA-9502FA77D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FloorsAvB">
          <a:extLst>
            <a:ext uri="{FF2B5EF4-FFF2-40B4-BE49-F238E27FC236}">
              <a16:creationId xmlns:a16="http://schemas.microsoft.com/office/drawing/2014/main" id="{E90289A2-C75E-B5FB-1111-0531D214D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PackageKPI">
          <a:extLst>
            <a:ext uri="{FF2B5EF4-FFF2-40B4-BE49-F238E27FC236}">
              <a16:creationId xmlns:a16="http://schemas.microsoft.com/office/drawing/2014/main" id="{A48FC271-30C9-BFE6-9378-EAC397904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2" name="PkgProgress">
          <a:extLst>
            <a:ext uri="{FF2B5EF4-FFF2-40B4-BE49-F238E27FC236}">
              <a16:creationId xmlns:a16="http://schemas.microsoft.com/office/drawing/2014/main" id="{A8BF2928-C200-624D-CCC5-C577BC960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ubs-contractor/AIPOON_Progress_Claim.xlsx" TargetMode="External"/><Relationship Id="rId2" Type="http://schemas.openxmlformats.org/officeDocument/2006/relationships/externalLinkPath" Target="file:///C:\Users\alvin\Desktop\GM\subs-contractor\AIPOON_Progress_Claim.xlsx" TargetMode="External"/><Relationship Id="rId1" Type="http://schemas.openxmlformats.org/officeDocument/2006/relationships/externalLinkPath" Target="/Users/alvin/Desktop/GM/subs-contractor/AIPOON_Progress_Cla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BQ REV1"/>
      <sheetName val="DETAILS REV1"/>
    </sheetNames>
    <sheetDataSet>
      <sheetData sheetId="0" refreshError="1"/>
      <sheetData sheetId="1" refreshError="1"/>
      <sheetData sheetId="2">
        <row r="11">
          <cell r="H11">
            <v>5800</v>
          </cell>
        </row>
        <row r="12">
          <cell r="H12">
            <v>5800</v>
          </cell>
        </row>
        <row r="13">
          <cell r="H13">
            <v>5800</v>
          </cell>
        </row>
        <row r="14">
          <cell r="H14">
            <v>5800</v>
          </cell>
        </row>
        <row r="15">
          <cell r="H15">
            <v>5800</v>
          </cell>
        </row>
        <row r="16">
          <cell r="H16">
            <v>5800</v>
          </cell>
        </row>
        <row r="17">
          <cell r="H17">
            <v>2900</v>
          </cell>
        </row>
        <row r="22">
          <cell r="H22">
            <v>1600</v>
          </cell>
        </row>
        <row r="23">
          <cell r="H23">
            <v>1600</v>
          </cell>
        </row>
        <row r="24">
          <cell r="H24">
            <v>1600</v>
          </cell>
        </row>
        <row r="25">
          <cell r="H25">
            <v>1600</v>
          </cell>
        </row>
        <row r="26">
          <cell r="H26">
            <v>1600</v>
          </cell>
        </row>
        <row r="27">
          <cell r="H27">
            <v>1600</v>
          </cell>
        </row>
        <row r="28">
          <cell r="H28">
            <v>1600</v>
          </cell>
        </row>
        <row r="33">
          <cell r="H33">
            <v>510</v>
          </cell>
        </row>
        <row r="34">
          <cell r="H34">
            <v>510</v>
          </cell>
        </row>
        <row r="35">
          <cell r="H35">
            <v>510</v>
          </cell>
        </row>
        <row r="36">
          <cell r="H36">
            <v>510</v>
          </cell>
        </row>
        <row r="37">
          <cell r="H37">
            <v>510</v>
          </cell>
        </row>
        <row r="38">
          <cell r="H38">
            <v>510</v>
          </cell>
        </row>
        <row r="39">
          <cell r="H39">
            <v>510</v>
          </cell>
        </row>
        <row r="45">
          <cell r="H45">
            <v>2900</v>
          </cell>
        </row>
        <row r="46">
          <cell r="H46">
            <v>2900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4EF64-C3D2-4747-B867-4E0B6A6F5B8D}" name="MaterialOrder" displayName="MaterialOrder" ref="A4:K23" totalsRowShown="0" headerRowDxfId="42">
  <autoFilter ref="A4:K23" xr:uid="{C124EF64-C3D2-4747-B867-4E0B6A6F5B8D}"/>
  <tableColumns count="11">
    <tableColumn id="1" xr3:uid="{8802B2DC-48A9-4BC1-A77D-51EDBE71A4BD}" name="Package" dataDxfId="41"/>
    <tableColumn id="2" xr3:uid="{817723E6-6B26-443B-8368-07BDC01D927F}" name="Material" dataDxfId="40"/>
    <tableColumn id="3" xr3:uid="{F2542032-28F6-4A7D-B997-9D2026DAA513}" name="Unit" dataDxfId="39"/>
    <tableColumn id="4" xr3:uid="{EA4DD785-959C-42E9-8F65-586AAE80DD5A}" name="Qty / floor" dataDxfId="38"/>
    <tableColumn id="5" xr3:uid="{66F40022-1587-47A6-9E58-3CA00A03BE81}" name="Remaining A" dataDxfId="37"/>
    <tableColumn id="6" xr3:uid="{A3E1BBF3-8887-4433-9ACF-932EF604BFA3}" name="Remaining B" dataDxfId="36"/>
    <tableColumn id="7" xr3:uid="{3C8E1223-DD62-4A78-820C-3FEC3916E053}" name="Required" dataDxfId="35">
      <calculatedColumnFormula>D5*(E5+F5)</calculatedColumnFormula>
    </tableColumn>
    <tableColumn id="8" xr3:uid="{85A3A1C6-2EA1-4FA0-8ADF-F263BEE3ED13}" name="Ordered" dataDxfId="34"/>
    <tableColumn id="9" xr3:uid="{AAFECE1E-4A40-4016-B853-915EC64A4B5F}" name="Balance" dataDxfId="33">
      <calculatedColumnFormula>G5-H5</calculatedColumnFormula>
    </tableColumn>
    <tableColumn id="10" xr3:uid="{8E33E60F-6CC3-4E9A-B679-48C5F0C20936}" name="Status" dataDxfId="32">
      <calculatedColumnFormula>IF(I5&lt;=0,"Complete",IF(H5&gt;0,"Partial","To Order"))</calculatedColumnFormula>
    </tableColumn>
    <tableColumn id="11" xr3:uid="{93125652-C562-4319-B44D-32B2350A89C6}" name="Remarks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7590CA-9A4F-4490-93A3-F564BAA95F08}" name="POLog" displayName="POLog" ref="A4:J16" totalsRowShown="0" headerRowDxfId="30">
  <autoFilter ref="A4:J16" xr:uid="{D37590CA-9A4F-4490-93A3-F564BAA95F08}"/>
  <tableColumns count="10">
    <tableColumn id="1" xr3:uid="{37689F56-210F-496D-8C6F-39EDD9F439BE}" name="Date" dataDxfId="29"/>
    <tableColumn id="2" xr3:uid="{A2434FA1-5C6E-4216-B126-DAC951DB33AB}" name="PO No" dataDxfId="28"/>
    <tableColumn id="3" xr3:uid="{B457719A-6F4F-4E37-867A-D784C5F05EEA}" name="Material" dataDxfId="27"/>
    <tableColumn id="4" xr3:uid="{A4A22C33-934E-495A-9897-18D8C3B32A17}" name="Supplier" dataDxfId="26"/>
    <tableColumn id="5" xr3:uid="{A3913A42-612D-4C59-90E6-8B01B2FE5858}" name="Qty" dataDxfId="25"/>
    <tableColumn id="6" xr3:uid="{6800F213-66FB-43BF-BBEC-3FAE9948AFEC}" name="Unit" dataDxfId="24">
      <calculatedColumnFormula>IF(C5="","",_xlfn.XLOOKUP(C5,ORDER!B$5:B$23,ORDER!C$5:C$23))</calculatedColumnFormula>
    </tableColumn>
    <tableColumn id="7" xr3:uid="{32165C47-5C5B-480B-8CCA-C52000D50238}" name="Amount RM" dataDxfId="23"/>
    <tableColumn id="8" xr3:uid="{94336894-4E1A-48AC-BD96-F4FC97EC2912}" name="Status" dataDxfId="22"/>
    <tableColumn id="9" xr3:uid="{3E4A7506-52FA-46C4-944C-F26194D8420F}" name="ETA" dataDxfId="21"/>
    <tableColumn id="10" xr3:uid="{FE0E409F-58FE-4AE5-BAE0-D14A36A6420F}" name="Remarks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  <wetp:taskpane dockstate="right" visibility="0" width="438" row="9">
    <wetp:webextensionref xmlns:r="http://schemas.openxmlformats.org/officeDocument/2006/relationships" r:id="rId4"/>
  </wetp:taskpane>
  <wetp:taskpane dockstate="right" visibility="0" width="438" row="6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04A342B2-CF30-4BFA-A7C4-2DC686799703}">
  <we:reference id="wa200011056" version="1.0.0.2" store="en-US" storeType="OMEX"/>
  <we:alternateReferences>
    <we:reference id="WA200011056" version="1.0.0.2" store="WA200011056" storeType="OMEX"/>
  </we:alternateReferences>
  <we:properties>
    <we:property name="grokConversationBinding" value="{&quot;responseId&quot;:&quot;957546d4-43cb-9f34-80be-d3802ea39ff3&quot;,&quot;title&quot;:&quot;Excel Spreadsheet Help&quot;,&quot;transport&quot;:&quot;responses&quot;}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90D3843-673E-4389-8840-BA97EB6FEA32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6821788306054439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554AC39B-E2A1-4D52-A68B-F9F416E4173A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45DDC84F-A48A-45F7-9B5E-F5D9071F7EFE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FkRE7E-szNtYV4HuGt6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5.xml><?xml version="1.0" encoding="utf-8"?>
<we:webextension xmlns:we="http://schemas.microsoft.com/office/webextensions/webextension/2010/11" id="{B8F433A4-C641-4E5A-8AC1-51604FF464A9}">
  <we:reference id="WA200011214" version="1.0.0.1" store="Omex" storeType="OMEX"/>
  <we:alternateReferences>
    <we:reference id="WA200011214" version="1.0.0.1" store="WA20001121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main" xmlns:ns4="http://schemas.openxmlformats.org/officeDocument/2006/relationships" xmlns:ns5="http://schemas.microsoft.com/office/excel/2006/main" ns1:Ignorable="x14ac xr xr2 xr3" ns2:uid="{00000000-0001-0000-0000-000000000000}">
  <dimension ref="A1:AK46"/>
  <sheetViews>
    <sheetView tabSelected="1" zoomScale="32" zoomScaleNormal="40" workbookViewId="0">
      <pane xSplit="1" topLeftCell="B1" activePane="topRight" state="frozen"/>
      <selection pane="topRight" activeCell="AD8" sqref="AD8"/>
    </sheetView>
  </sheetViews>
  <sheetFormatPr defaultColWidth="8.88671875" defaultRowHeight="14.4"/>
  <cols>
    <col min="1" max="1" width="8" style="1" bestFit="1" customWidth="1"/>
    <col min="2" max="2" width="17.33203125" style="1" bestFit="1" customWidth="1"/>
    <col min="3" max="8" width="22.44140625" style="1" customWidth="1"/>
    <col min="9" max="9" width="25.109375" style="1" customWidth="1"/>
    <col min="10" max="10" width="25.44140625" style="1" customWidth="1"/>
    <col min="11" max="11" width="22.44140625" style="1" customWidth="1"/>
    <col min="12" max="12" width="27" style="1" customWidth="1"/>
    <col min="13" max="13" width="22.44140625" style="1" customWidth="1"/>
    <col min="14" max="14" width="27.77734375" style="1" customWidth="1"/>
    <col min="15" max="15" width="24.77734375" style="1" customWidth="1"/>
    <col min="16" max="16" width="24.109375" style="1" customWidth="1"/>
    <col min="17" max="17" width="23.44140625" style="1" customWidth="1"/>
    <col min="18" max="18" width="24.77734375" style="1" customWidth="1"/>
    <col min="19" max="19" width="8.88671875" style="1"/>
    <col min="20" max="20" width="14.6640625" style="1" bestFit="1" customWidth="1"/>
    <col min="21" max="21" width="12.21875" style="1" bestFit="1" customWidth="1"/>
    <col min="22" max="22" width="16.44140625" style="1" bestFit="1" customWidth="1"/>
    <col min="23" max="23" width="9.109375" style="1" bestFit="1" customWidth="1"/>
    <col min="24" max="24" width="7.77734375" style="1" bestFit="1" customWidth="1"/>
    <col min="25" max="25" width="8.44140625" style="1" bestFit="1" customWidth="1"/>
    <col min="26" max="26" width="7.77734375" style="1" bestFit="1" customWidth="1"/>
    <col min="27" max="27" width="9.109375" style="1" bestFit="1" customWidth="1"/>
    <col min="28" max="16384" width="8.88671875" style="1"/>
  </cols>
  <sheetData>
    <row r="1" spans="1:27" s="16" customFormat="1" ht="36.6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27" s="16" customFormat="1" ht="36.6">
      <c r="A2" s="120" t="s">
        <v>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09"/>
    </row>
    <row r="3" spans="1:27" s="16" customFormat="1" ht="37.200000000000003" thickBot="1">
      <c r="A3" s="120" t="s">
        <v>166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09"/>
    </row>
    <row r="4" spans="1:27" ht="25.2" customHeight="1">
      <c r="A4" s="128" t="s">
        <v>2</v>
      </c>
      <c r="B4" s="129"/>
      <c r="C4" s="121" t="s">
        <v>3</v>
      </c>
      <c r="D4" s="122"/>
      <c r="E4" s="122"/>
      <c r="F4" s="122"/>
      <c r="G4" s="123">
        <f>(C46+D46+E46+F46+G46+H46+I46)/7</f>
        <v>0.47607142857142842</v>
      </c>
      <c r="H4" s="123"/>
      <c r="I4" s="124"/>
      <c r="J4" s="125" t="s">
        <v>4</v>
      </c>
      <c r="K4" s="126"/>
      <c r="L4" s="127">
        <f>(J46+K46+L46+M46+N46)/5</f>
        <v>0.47024999999999978</v>
      </c>
      <c r="M4" s="127"/>
      <c r="N4" s="127"/>
      <c r="O4" s="132" t="s">
        <v>5</v>
      </c>
      <c r="P4" s="133"/>
      <c r="Q4" s="112">
        <f>(O46+P46+Q46+R46)/4</f>
        <v>6.1249999999999999E-2</v>
      </c>
      <c r="R4" s="113"/>
      <c r="T4" s="15" t="s">
        <v>27</v>
      </c>
      <c r="U4" s="15" t="s">
        <v>28</v>
      </c>
      <c r="V4" s="20" t="s">
        <v>29</v>
      </c>
      <c r="W4" s="20"/>
      <c r="X4" s="20"/>
      <c r="Y4" s="21"/>
      <c r="Z4" s="21"/>
      <c r="AA4" s="21"/>
    </row>
    <row r="5" spans="1:27" s="2" customFormat="1" ht="108.6" customHeight="1">
      <c r="A5" s="130"/>
      <c r="B5" s="131"/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0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03" t="s">
        <v>17</v>
      </c>
      <c r="O5" s="101" t="s">
        <v>18</v>
      </c>
      <c r="P5" s="101" t="s">
        <v>19</v>
      </c>
      <c r="Q5" s="101" t="s">
        <v>20</v>
      </c>
      <c r="R5" s="102" t="s">
        <v>21</v>
      </c>
      <c r="T5" s="20" t="s">
        <v>30</v>
      </c>
      <c r="U5" s="22" t="s">
        <v>31</v>
      </c>
      <c r="V5" s="22" t="s">
        <v>32</v>
      </c>
      <c r="W5" s="22" t="s">
        <v>33</v>
      </c>
      <c r="X5" s="22" t="s">
        <v>34</v>
      </c>
      <c r="Y5" s="22"/>
      <c r="Z5" s="22"/>
      <c r="AA5" s="22"/>
    </row>
    <row r="6" spans="1:27" ht="25.2" customHeight="1">
      <c r="A6" s="3">
        <v>13</v>
      </c>
      <c r="B6" s="114" t="s">
        <v>22</v>
      </c>
      <c r="C6" s="4">
        <v>1</v>
      </c>
      <c r="D6" s="118" t="s">
        <v>23</v>
      </c>
      <c r="E6" s="118" t="s">
        <v>23</v>
      </c>
      <c r="F6" s="4">
        <v>0.95</v>
      </c>
      <c r="G6" s="118" t="s">
        <v>23</v>
      </c>
      <c r="H6" s="4">
        <v>0.95</v>
      </c>
      <c r="I6" s="4">
        <v>0</v>
      </c>
      <c r="J6" s="4">
        <v>0.95</v>
      </c>
      <c r="K6" s="17">
        <v>0.95</v>
      </c>
      <c r="L6" s="4">
        <f>0/4</f>
        <v>0</v>
      </c>
      <c r="M6" s="17">
        <f>0/4</f>
        <v>0</v>
      </c>
      <c r="N6" s="4">
        <v>0</v>
      </c>
      <c r="O6" s="4">
        <v>1</v>
      </c>
      <c r="P6" s="4">
        <v>0.9</v>
      </c>
      <c r="Q6" s="4">
        <v>0</v>
      </c>
      <c r="R6" s="110" t="s">
        <v>23</v>
      </c>
      <c r="T6" s="20" t="s">
        <v>35</v>
      </c>
      <c r="U6" s="22" t="s">
        <v>36</v>
      </c>
      <c r="V6" s="22" t="s">
        <v>37</v>
      </c>
      <c r="W6" s="22"/>
      <c r="X6" s="22"/>
      <c r="Y6" s="22"/>
      <c r="Z6" s="22"/>
      <c r="AA6" s="22"/>
    </row>
    <row r="7" spans="1:27" ht="25.2">
      <c r="A7" s="3">
        <v>14</v>
      </c>
      <c r="B7" s="115"/>
      <c r="C7" s="4">
        <v>1</v>
      </c>
      <c r="D7" s="107"/>
      <c r="E7" s="107"/>
      <c r="F7" s="4">
        <v>0.95</v>
      </c>
      <c r="G7" s="107"/>
      <c r="H7" s="4">
        <v>0.95</v>
      </c>
      <c r="I7" s="4">
        <v>0.95</v>
      </c>
      <c r="J7" s="4">
        <v>0.95</v>
      </c>
      <c r="K7" s="17">
        <v>0.95</v>
      </c>
      <c r="L7" s="4">
        <v>0.95</v>
      </c>
      <c r="M7" s="17">
        <v>0.95</v>
      </c>
      <c r="N7" s="4">
        <v>0.95</v>
      </c>
      <c r="O7" s="4">
        <v>1</v>
      </c>
      <c r="P7" s="4">
        <v>0</v>
      </c>
      <c r="Q7" s="4">
        <v>0</v>
      </c>
      <c r="R7" s="110"/>
      <c r="T7" s="20" t="s">
        <v>38</v>
      </c>
      <c r="U7" s="22" t="s">
        <v>39</v>
      </c>
      <c r="V7" s="22" t="s">
        <v>40</v>
      </c>
      <c r="W7" s="22"/>
      <c r="X7" s="22"/>
      <c r="Y7" s="22"/>
      <c r="Z7" s="22"/>
      <c r="AA7" s="22"/>
    </row>
    <row r="8" spans="1:27" ht="25.2">
      <c r="A8" s="3">
        <v>15</v>
      </c>
      <c r="B8" s="115"/>
      <c r="C8" s="4">
        <v>1</v>
      </c>
      <c r="D8" s="107"/>
      <c r="E8" s="107"/>
      <c r="F8" s="4">
        <v>0.95</v>
      </c>
      <c r="G8" s="107"/>
      <c r="H8" s="4">
        <v>0.95</v>
      </c>
      <c r="I8" s="4">
        <v>0.95</v>
      </c>
      <c r="J8" s="4">
        <v>0.95</v>
      </c>
      <c r="K8" s="17">
        <v>0.95</v>
      </c>
      <c r="L8" s="4">
        <v>0.95</v>
      </c>
      <c r="M8" s="17">
        <v>0.95</v>
      </c>
      <c r="N8" s="4">
        <v>0.95</v>
      </c>
      <c r="O8" s="4">
        <v>0.95</v>
      </c>
      <c r="P8" s="4">
        <v>0</v>
      </c>
      <c r="Q8" s="4">
        <v>0</v>
      </c>
      <c r="R8" s="110"/>
      <c r="T8" s="20" t="s">
        <v>41</v>
      </c>
      <c r="U8" s="23" t="s">
        <v>42</v>
      </c>
      <c r="V8" s="22" t="s">
        <v>43</v>
      </c>
      <c r="W8" s="22" t="s">
        <v>44</v>
      </c>
      <c r="X8" s="22" t="s">
        <v>45</v>
      </c>
      <c r="Y8" s="22" t="s">
        <v>46</v>
      </c>
      <c r="Z8" s="22" t="s">
        <v>47</v>
      </c>
      <c r="AA8" s="22" t="s">
        <v>48</v>
      </c>
    </row>
    <row r="9" spans="1:27" ht="25.2">
      <c r="A9" s="3">
        <v>16</v>
      </c>
      <c r="B9" s="115"/>
      <c r="C9" s="4">
        <v>1</v>
      </c>
      <c r="D9" s="107"/>
      <c r="E9" s="107"/>
      <c r="F9" s="4">
        <v>0.95</v>
      </c>
      <c r="G9" s="107"/>
      <c r="H9" s="4">
        <v>0.95</v>
      </c>
      <c r="I9" s="4">
        <v>0.95</v>
      </c>
      <c r="J9" s="4">
        <v>0.5</v>
      </c>
      <c r="K9" s="17">
        <v>0.5</v>
      </c>
      <c r="L9" s="4">
        <f t="shared" ref="L7:M12" si="0">4/4</f>
        <v>1</v>
      </c>
      <c r="M9" s="17">
        <v>0.95</v>
      </c>
      <c r="N9" s="4">
        <v>0.95</v>
      </c>
      <c r="O9" s="4">
        <v>0.95</v>
      </c>
      <c r="P9" s="4">
        <v>0</v>
      </c>
      <c r="Q9" s="4">
        <v>0</v>
      </c>
      <c r="R9" s="110"/>
      <c r="T9" s="20" t="s">
        <v>49</v>
      </c>
      <c r="U9" s="23" t="s">
        <v>50</v>
      </c>
      <c r="V9" s="22" t="s">
        <v>51</v>
      </c>
      <c r="W9" s="22"/>
      <c r="X9" s="22"/>
      <c r="Y9" s="22"/>
      <c r="Z9" s="22"/>
      <c r="AA9" s="22"/>
    </row>
    <row r="10" spans="1:27" ht="25.2">
      <c r="A10" s="3">
        <v>17</v>
      </c>
      <c r="B10" s="115"/>
      <c r="C10" s="4">
        <v>1</v>
      </c>
      <c r="D10" s="107"/>
      <c r="E10" s="107"/>
      <c r="F10" s="4">
        <v>0.95</v>
      </c>
      <c r="G10" s="107"/>
      <c r="H10" s="4">
        <v>0.95</v>
      </c>
      <c r="I10" s="4">
        <v>0</v>
      </c>
      <c r="J10" s="4">
        <v>0.5</v>
      </c>
      <c r="K10" s="17">
        <v>0.5</v>
      </c>
      <c r="L10" s="4">
        <f t="shared" si="0"/>
        <v>1</v>
      </c>
      <c r="M10" s="17">
        <v>0.95</v>
      </c>
      <c r="N10" s="4">
        <v>0.1</v>
      </c>
      <c r="O10" s="4">
        <v>0</v>
      </c>
      <c r="P10" s="4">
        <v>0</v>
      </c>
      <c r="Q10" s="4">
        <v>0</v>
      </c>
      <c r="R10" s="110"/>
      <c r="T10" s="20" t="s">
        <v>52</v>
      </c>
      <c r="U10" s="23" t="s">
        <v>53</v>
      </c>
      <c r="V10" s="22" t="s">
        <v>54</v>
      </c>
      <c r="W10" s="22"/>
      <c r="X10" s="22"/>
      <c r="Y10" s="22"/>
      <c r="Z10" s="22"/>
      <c r="AA10" s="22"/>
    </row>
    <row r="11" spans="1:27" ht="25.2">
      <c r="A11" s="3">
        <v>18</v>
      </c>
      <c r="B11" s="115"/>
      <c r="C11" s="4">
        <v>1</v>
      </c>
      <c r="D11" s="107"/>
      <c r="E11" s="107"/>
      <c r="F11" s="4">
        <v>0.95</v>
      </c>
      <c r="G11" s="107"/>
      <c r="H11" s="4">
        <v>0.95</v>
      </c>
      <c r="I11" s="4">
        <v>0</v>
      </c>
      <c r="J11" s="4">
        <v>0.5</v>
      </c>
      <c r="K11" s="17">
        <v>0.5</v>
      </c>
      <c r="L11" s="4">
        <f t="shared" si="0"/>
        <v>1</v>
      </c>
      <c r="M11" s="17">
        <v>0.95</v>
      </c>
      <c r="N11" s="4">
        <v>0</v>
      </c>
      <c r="O11" s="4">
        <v>0.1</v>
      </c>
      <c r="P11" s="4">
        <v>0</v>
      </c>
      <c r="Q11" s="4">
        <v>0</v>
      </c>
      <c r="R11" s="110"/>
      <c r="T11" s="20" t="s">
        <v>55</v>
      </c>
      <c r="U11" s="23" t="s">
        <v>56</v>
      </c>
      <c r="V11" s="22" t="s">
        <v>45</v>
      </c>
      <c r="W11" s="22"/>
      <c r="X11" s="22"/>
      <c r="Y11" s="22"/>
      <c r="Z11" s="22"/>
      <c r="AA11" s="22"/>
    </row>
    <row r="12" spans="1:27" ht="25.2">
      <c r="A12" s="3">
        <v>19</v>
      </c>
      <c r="B12" s="115"/>
      <c r="C12" s="4">
        <v>1</v>
      </c>
      <c r="D12" s="107"/>
      <c r="E12" s="107"/>
      <c r="F12" s="4">
        <v>0.95</v>
      </c>
      <c r="G12" s="107"/>
      <c r="H12" s="4">
        <v>0.95</v>
      </c>
      <c r="I12" s="4">
        <v>0</v>
      </c>
      <c r="J12" s="4">
        <v>0.5</v>
      </c>
      <c r="K12" s="17">
        <v>0.5</v>
      </c>
      <c r="L12" s="4">
        <f t="shared" si="0"/>
        <v>1</v>
      </c>
      <c r="M12" s="17">
        <v>0.95</v>
      </c>
      <c r="N12" s="4">
        <v>0</v>
      </c>
      <c r="O12" s="4">
        <v>0</v>
      </c>
      <c r="P12" s="4">
        <v>0</v>
      </c>
      <c r="Q12" s="4">
        <v>0</v>
      </c>
      <c r="R12" s="110"/>
      <c r="T12" s="20" t="s">
        <v>57</v>
      </c>
      <c r="U12" s="23" t="s">
        <v>58</v>
      </c>
      <c r="V12" s="22" t="s">
        <v>59</v>
      </c>
      <c r="W12" s="22"/>
      <c r="X12" s="22"/>
      <c r="Y12" s="22"/>
      <c r="Z12" s="22"/>
      <c r="AA12" s="22"/>
    </row>
    <row r="13" spans="1:27" ht="25.2">
      <c r="A13" s="3">
        <v>20</v>
      </c>
      <c r="B13" s="115"/>
      <c r="C13" s="4">
        <v>1</v>
      </c>
      <c r="D13" s="107"/>
      <c r="E13" s="107"/>
      <c r="F13" s="4">
        <v>0.95</v>
      </c>
      <c r="G13" s="107"/>
      <c r="H13" s="4">
        <v>0.95</v>
      </c>
      <c r="I13" s="4">
        <v>0</v>
      </c>
      <c r="J13" s="4">
        <v>0.95</v>
      </c>
      <c r="K13" s="17">
        <v>0.95</v>
      </c>
      <c r="L13" s="4">
        <v>0.2</v>
      </c>
      <c r="M13" s="17">
        <v>0.95</v>
      </c>
      <c r="N13" s="4">
        <v>0</v>
      </c>
      <c r="O13" s="4">
        <v>0</v>
      </c>
      <c r="P13" s="4">
        <v>0</v>
      </c>
      <c r="Q13" s="4">
        <v>0</v>
      </c>
      <c r="R13" s="110"/>
      <c r="T13" s="20" t="s">
        <v>60</v>
      </c>
      <c r="U13" s="23" t="s">
        <v>61</v>
      </c>
      <c r="V13" s="22" t="s">
        <v>62</v>
      </c>
      <c r="W13" s="22"/>
      <c r="X13" s="22"/>
      <c r="Y13" s="22"/>
      <c r="Z13" s="22"/>
      <c r="AA13" s="22"/>
    </row>
    <row r="14" spans="1:27" ht="25.2">
      <c r="A14" s="3">
        <v>21</v>
      </c>
      <c r="B14" s="115"/>
      <c r="C14" s="4">
        <v>1</v>
      </c>
      <c r="D14" s="107"/>
      <c r="E14" s="107"/>
      <c r="F14" s="4">
        <v>0.95</v>
      </c>
      <c r="G14" s="107"/>
      <c r="H14" s="4">
        <v>0.95</v>
      </c>
      <c r="I14" s="4">
        <v>0</v>
      </c>
      <c r="J14" s="4">
        <v>0.95</v>
      </c>
      <c r="K14" s="17">
        <v>0.95</v>
      </c>
      <c r="L14" s="4">
        <v>0</v>
      </c>
      <c r="M14" s="17">
        <v>0.95</v>
      </c>
      <c r="N14" s="4">
        <v>0</v>
      </c>
      <c r="O14" s="4">
        <v>0</v>
      </c>
      <c r="P14" s="4">
        <v>0</v>
      </c>
      <c r="Q14" s="4">
        <v>0</v>
      </c>
      <c r="R14" s="110"/>
      <c r="T14" s="20" t="s">
        <v>63</v>
      </c>
      <c r="U14" s="22" t="s">
        <v>64</v>
      </c>
      <c r="V14" s="22"/>
      <c r="W14" s="22"/>
      <c r="X14" s="22"/>
      <c r="Y14" s="22"/>
      <c r="Z14" s="22"/>
      <c r="AA14" s="22"/>
    </row>
    <row r="15" spans="1:27" ht="25.2">
      <c r="A15" s="3">
        <v>22</v>
      </c>
      <c r="B15" s="115"/>
      <c r="C15" s="4">
        <v>1</v>
      </c>
      <c r="D15" s="107"/>
      <c r="E15" s="107"/>
      <c r="F15" s="4">
        <v>0.95</v>
      </c>
      <c r="G15" s="107"/>
      <c r="H15" s="4">
        <v>0.95</v>
      </c>
      <c r="I15" s="4">
        <v>0</v>
      </c>
      <c r="J15" s="4">
        <v>0.95</v>
      </c>
      <c r="K15" s="17">
        <v>0.95</v>
      </c>
      <c r="L15" s="4">
        <v>0.95</v>
      </c>
      <c r="M15" s="17">
        <v>0.95</v>
      </c>
      <c r="N15" s="4">
        <v>0</v>
      </c>
      <c r="O15" s="4">
        <v>0</v>
      </c>
      <c r="P15" s="4">
        <v>0</v>
      </c>
      <c r="Q15" s="4">
        <v>0</v>
      </c>
      <c r="R15" s="5">
        <v>0</v>
      </c>
    </row>
    <row r="16" spans="1:27" ht="25.2">
      <c r="A16" s="3">
        <v>23</v>
      </c>
      <c r="B16" s="115"/>
      <c r="C16" s="4">
        <v>1</v>
      </c>
      <c r="D16" s="107"/>
      <c r="E16" s="107"/>
      <c r="F16" s="4">
        <v>0.95</v>
      </c>
      <c r="G16" s="107"/>
      <c r="H16" s="4">
        <v>0.95</v>
      </c>
      <c r="I16" s="4">
        <v>0</v>
      </c>
      <c r="J16" s="4">
        <v>0.5</v>
      </c>
      <c r="K16" s="17">
        <v>0.5</v>
      </c>
      <c r="L16" s="4">
        <f>0/4</f>
        <v>0</v>
      </c>
      <c r="M16" s="17">
        <v>0.95</v>
      </c>
      <c r="N16" s="4">
        <v>0</v>
      </c>
      <c r="O16" s="4">
        <v>0</v>
      </c>
      <c r="P16" s="4">
        <v>0</v>
      </c>
      <c r="Q16" s="4">
        <v>0</v>
      </c>
      <c r="R16" s="110" t="s">
        <v>23</v>
      </c>
    </row>
    <row r="17" spans="1:37" ht="25.2">
      <c r="A17" s="3">
        <v>24</v>
      </c>
      <c r="B17" s="115"/>
      <c r="C17" s="4">
        <v>1</v>
      </c>
      <c r="D17" s="107"/>
      <c r="E17" s="107"/>
      <c r="F17" s="4">
        <v>0.95</v>
      </c>
      <c r="G17" s="107"/>
      <c r="H17" s="4">
        <v>0.95</v>
      </c>
      <c r="I17" s="4">
        <v>0</v>
      </c>
      <c r="J17" s="4">
        <v>0.5</v>
      </c>
      <c r="K17" s="17">
        <v>0.5</v>
      </c>
      <c r="L17" s="4">
        <f>0/4</f>
        <v>0</v>
      </c>
      <c r="M17" s="17">
        <v>0.95</v>
      </c>
      <c r="N17" s="4">
        <v>0</v>
      </c>
      <c r="O17" s="4">
        <v>0</v>
      </c>
      <c r="P17" s="4">
        <v>0</v>
      </c>
      <c r="Q17" s="4">
        <v>0</v>
      </c>
      <c r="R17" s="110"/>
    </row>
    <row r="18" spans="1:37" ht="25.2">
      <c r="A18" s="3">
        <v>25</v>
      </c>
      <c r="B18" s="115"/>
      <c r="C18" s="4">
        <v>1</v>
      </c>
      <c r="D18" s="107"/>
      <c r="E18" s="107"/>
      <c r="F18" s="4">
        <v>0.95</v>
      </c>
      <c r="G18" s="107"/>
      <c r="H18" s="4">
        <v>0.95</v>
      </c>
      <c r="I18" s="4">
        <v>0</v>
      </c>
      <c r="J18" s="4">
        <v>0.95</v>
      </c>
      <c r="K18" s="17">
        <v>0.95</v>
      </c>
      <c r="L18" s="4">
        <f>0/4</f>
        <v>0</v>
      </c>
      <c r="M18" s="17">
        <v>0.95</v>
      </c>
      <c r="N18" s="4">
        <v>0</v>
      </c>
      <c r="O18" s="4">
        <v>0</v>
      </c>
      <c r="P18" s="4">
        <v>0</v>
      </c>
      <c r="Q18" s="4">
        <v>0</v>
      </c>
      <c r="R18" s="110"/>
    </row>
    <row r="19" spans="1:37" ht="25.2">
      <c r="A19" s="3">
        <v>26</v>
      </c>
      <c r="B19" s="115"/>
      <c r="C19" s="4">
        <v>1</v>
      </c>
      <c r="D19" s="107"/>
      <c r="E19" s="107"/>
      <c r="F19" s="4">
        <v>0.95</v>
      </c>
      <c r="G19" s="107"/>
      <c r="H19" s="4">
        <v>0.95</v>
      </c>
      <c r="I19" s="4">
        <v>0</v>
      </c>
      <c r="J19" s="4">
        <v>0.95</v>
      </c>
      <c r="K19" s="17">
        <v>0.95</v>
      </c>
      <c r="L19" s="4">
        <v>0.95</v>
      </c>
      <c r="M19" s="17">
        <v>0.95</v>
      </c>
      <c r="N19" s="4">
        <v>0</v>
      </c>
      <c r="O19" s="4">
        <v>0</v>
      </c>
      <c r="P19" s="4">
        <v>0</v>
      </c>
      <c r="Q19" s="4">
        <v>0</v>
      </c>
      <c r="R19" s="110"/>
    </row>
    <row r="20" spans="1:37" ht="25.2">
      <c r="A20" s="3">
        <v>27</v>
      </c>
      <c r="B20" s="115"/>
      <c r="C20" s="4">
        <v>1</v>
      </c>
      <c r="D20" s="107"/>
      <c r="E20" s="107"/>
      <c r="F20" s="4">
        <v>0.95</v>
      </c>
      <c r="G20" s="107"/>
      <c r="H20" s="4">
        <v>0.95</v>
      </c>
      <c r="I20" s="4">
        <v>0</v>
      </c>
      <c r="J20" s="4">
        <v>0.95</v>
      </c>
      <c r="K20" s="17">
        <v>0.95</v>
      </c>
      <c r="L20" s="4">
        <f t="shared" ref="L20:L26" si="1">0/4</f>
        <v>0</v>
      </c>
      <c r="M20" s="17">
        <v>0.95</v>
      </c>
      <c r="N20" s="4">
        <v>0</v>
      </c>
      <c r="O20" s="4">
        <v>0</v>
      </c>
      <c r="P20" s="4">
        <v>0</v>
      </c>
      <c r="Q20" s="4">
        <v>0</v>
      </c>
      <c r="R20" s="110"/>
    </row>
    <row r="21" spans="1:37" ht="25.2">
      <c r="A21" s="3">
        <v>28</v>
      </c>
      <c r="B21" s="115"/>
      <c r="C21" s="4">
        <v>1</v>
      </c>
      <c r="D21" s="107"/>
      <c r="E21" s="107"/>
      <c r="F21" s="4">
        <v>0.95</v>
      </c>
      <c r="G21" s="107"/>
      <c r="H21" s="4">
        <v>0.95</v>
      </c>
      <c r="I21" s="4">
        <v>0</v>
      </c>
      <c r="J21" s="4">
        <f t="shared" ref="J17:J25" si="2">0/6</f>
        <v>0</v>
      </c>
      <c r="K21" s="17">
        <v>0</v>
      </c>
      <c r="L21" s="4">
        <f t="shared" si="1"/>
        <v>0</v>
      </c>
      <c r="M21" s="17">
        <f t="shared" ref="M21:M26" si="3">0/4</f>
        <v>0</v>
      </c>
      <c r="N21" s="4">
        <v>0</v>
      </c>
      <c r="O21" s="4">
        <v>0</v>
      </c>
      <c r="P21" s="4">
        <v>0</v>
      </c>
      <c r="Q21" s="4">
        <v>0</v>
      </c>
      <c r="R21" s="110"/>
    </row>
    <row r="22" spans="1:37" ht="25.2">
      <c r="A22" s="3">
        <v>29</v>
      </c>
      <c r="B22" s="115"/>
      <c r="C22" s="4">
        <v>1</v>
      </c>
      <c r="D22" s="107"/>
      <c r="E22" s="107"/>
      <c r="F22" s="4">
        <v>0</v>
      </c>
      <c r="G22" s="107"/>
      <c r="H22" s="4">
        <v>0.95</v>
      </c>
      <c r="I22" s="4">
        <v>0</v>
      </c>
      <c r="J22" s="4">
        <f t="shared" si="2"/>
        <v>0</v>
      </c>
      <c r="K22" s="17">
        <v>0</v>
      </c>
      <c r="L22" s="4">
        <f t="shared" si="1"/>
        <v>0</v>
      </c>
      <c r="M22" s="17">
        <f t="shared" si="3"/>
        <v>0</v>
      </c>
      <c r="N22" s="4">
        <v>0</v>
      </c>
      <c r="O22" s="4">
        <v>0</v>
      </c>
      <c r="P22" s="4">
        <v>0</v>
      </c>
      <c r="Q22" s="4">
        <v>0</v>
      </c>
      <c r="R22" s="110"/>
    </row>
    <row r="23" spans="1:37" ht="25.2">
      <c r="A23" s="3">
        <v>30</v>
      </c>
      <c r="B23" s="115"/>
      <c r="C23" s="4">
        <v>1</v>
      </c>
      <c r="D23" s="108"/>
      <c r="E23" s="108"/>
      <c r="F23" s="4">
        <v>0</v>
      </c>
      <c r="G23" s="108"/>
      <c r="H23" s="4">
        <v>0</v>
      </c>
      <c r="I23" s="4">
        <v>0</v>
      </c>
      <c r="J23" s="4">
        <f t="shared" si="2"/>
        <v>0</v>
      </c>
      <c r="K23" s="17">
        <v>0</v>
      </c>
      <c r="L23" s="4">
        <f t="shared" si="1"/>
        <v>0</v>
      </c>
      <c r="M23" s="17">
        <f t="shared" si="3"/>
        <v>0</v>
      </c>
      <c r="N23" s="4">
        <v>0</v>
      </c>
      <c r="O23" s="4">
        <v>0</v>
      </c>
      <c r="P23" s="4">
        <v>0</v>
      </c>
      <c r="Q23" s="4">
        <v>0</v>
      </c>
      <c r="R23" s="110"/>
    </row>
    <row r="24" spans="1:37" ht="25.2">
      <c r="A24" s="3">
        <v>31</v>
      </c>
      <c r="B24" s="115"/>
      <c r="C24" s="4">
        <v>0.55000000000000004</v>
      </c>
      <c r="D24" s="4">
        <v>0.95</v>
      </c>
      <c r="E24" s="4">
        <v>0.95</v>
      </c>
      <c r="F24" s="4">
        <v>0</v>
      </c>
      <c r="G24" s="4">
        <v>0</v>
      </c>
      <c r="H24" s="4">
        <v>0</v>
      </c>
      <c r="I24" s="4">
        <v>0</v>
      </c>
      <c r="J24" s="4">
        <f t="shared" si="2"/>
        <v>0</v>
      </c>
      <c r="K24" s="17">
        <v>0</v>
      </c>
      <c r="L24" s="4">
        <f t="shared" si="1"/>
        <v>0</v>
      </c>
      <c r="M24" s="17">
        <f t="shared" si="3"/>
        <v>0</v>
      </c>
      <c r="N24" s="4">
        <v>0</v>
      </c>
      <c r="O24" s="4">
        <v>0</v>
      </c>
      <c r="P24" s="4">
        <v>0</v>
      </c>
      <c r="Q24" s="4">
        <v>0</v>
      </c>
      <c r="R24" s="110"/>
    </row>
    <row r="25" spans="1:37" ht="50.4" customHeight="1" thickBot="1">
      <c r="A25" s="6" t="s">
        <v>24</v>
      </c>
      <c r="B25" s="116"/>
      <c r="C25" s="7">
        <v>0.1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f t="shared" si="2"/>
        <v>0</v>
      </c>
      <c r="K25" s="18">
        <v>0</v>
      </c>
      <c r="L25" s="7">
        <f t="shared" si="1"/>
        <v>0</v>
      </c>
      <c r="M25" s="18">
        <f t="shared" si="3"/>
        <v>0</v>
      </c>
      <c r="N25" s="7">
        <v>0</v>
      </c>
      <c r="O25" s="7">
        <v>0</v>
      </c>
      <c r="P25" s="7">
        <v>0</v>
      </c>
      <c r="Q25" s="7">
        <v>0</v>
      </c>
      <c r="R25" s="8">
        <v>0</v>
      </c>
    </row>
    <row r="26" spans="1:37" ht="25.2" customHeight="1" thickBot="1">
      <c r="A26" s="9">
        <v>13</v>
      </c>
      <c r="B26" s="117" t="s">
        <v>25</v>
      </c>
      <c r="C26" s="10">
        <v>1</v>
      </c>
      <c r="D26" s="106" t="s">
        <v>23</v>
      </c>
      <c r="E26" s="106" t="s">
        <v>23</v>
      </c>
      <c r="F26" s="10">
        <v>0.95</v>
      </c>
      <c r="G26" s="106" t="s">
        <v>23</v>
      </c>
      <c r="H26" s="10">
        <v>0.95</v>
      </c>
      <c r="I26" s="10">
        <v>0</v>
      </c>
      <c r="J26" s="10">
        <v>0.95</v>
      </c>
      <c r="K26" s="19">
        <v>0.95</v>
      </c>
      <c r="L26" s="10">
        <f t="shared" si="1"/>
        <v>0</v>
      </c>
      <c r="M26" s="19">
        <f t="shared" si="3"/>
        <v>0</v>
      </c>
      <c r="N26" s="10">
        <v>0</v>
      </c>
      <c r="O26" s="10">
        <v>1</v>
      </c>
      <c r="P26" s="10">
        <v>0.9</v>
      </c>
      <c r="Q26" s="10">
        <v>0</v>
      </c>
      <c r="R26" s="111" t="s">
        <v>23</v>
      </c>
    </row>
    <row r="27" spans="1:37" ht="25.8" thickBot="1">
      <c r="A27" s="3">
        <v>14</v>
      </c>
      <c r="B27" s="115"/>
      <c r="C27" s="4">
        <v>1</v>
      </c>
      <c r="D27" s="107"/>
      <c r="E27" s="107"/>
      <c r="F27" s="10">
        <v>0.95</v>
      </c>
      <c r="G27" s="107"/>
      <c r="H27" s="10">
        <v>0.95</v>
      </c>
      <c r="I27" s="10">
        <v>0.95</v>
      </c>
      <c r="J27" s="10">
        <v>0.95</v>
      </c>
      <c r="K27" s="19">
        <v>0.95</v>
      </c>
      <c r="L27" s="4">
        <v>0.95</v>
      </c>
      <c r="M27" s="17">
        <v>0.95</v>
      </c>
      <c r="N27" s="4">
        <v>0.95</v>
      </c>
      <c r="O27" s="4">
        <v>1</v>
      </c>
      <c r="P27" s="4">
        <v>0</v>
      </c>
      <c r="Q27" s="4">
        <v>0</v>
      </c>
      <c r="R27" s="110"/>
    </row>
    <row r="28" spans="1:37" ht="25.8" thickBot="1">
      <c r="A28" s="3">
        <v>15</v>
      </c>
      <c r="B28" s="115"/>
      <c r="C28" s="4">
        <v>1</v>
      </c>
      <c r="D28" s="107"/>
      <c r="E28" s="107"/>
      <c r="F28" s="10">
        <v>0.95</v>
      </c>
      <c r="G28" s="107"/>
      <c r="H28" s="10">
        <v>0.95</v>
      </c>
      <c r="I28" s="10">
        <v>0.95</v>
      </c>
      <c r="J28" s="10">
        <v>0.95</v>
      </c>
      <c r="K28" s="19">
        <v>0.95</v>
      </c>
      <c r="L28" s="4">
        <v>0.95</v>
      </c>
      <c r="M28" s="17">
        <v>0.95</v>
      </c>
      <c r="N28" s="4">
        <v>0.95</v>
      </c>
      <c r="O28" s="4">
        <v>0.95</v>
      </c>
      <c r="P28" s="4">
        <v>0</v>
      </c>
      <c r="Q28" s="4">
        <v>0</v>
      </c>
      <c r="R28" s="110"/>
    </row>
    <row r="29" spans="1:37" ht="25.8" thickBot="1">
      <c r="A29" s="3">
        <v>16</v>
      </c>
      <c r="B29" s="115"/>
      <c r="C29" s="4">
        <v>1</v>
      </c>
      <c r="D29" s="107"/>
      <c r="E29" s="107"/>
      <c r="F29" s="10">
        <v>0.95</v>
      </c>
      <c r="G29" s="107"/>
      <c r="H29" s="10">
        <v>0.95</v>
      </c>
      <c r="I29" s="10">
        <v>0.1</v>
      </c>
      <c r="J29" s="4">
        <v>0.5</v>
      </c>
      <c r="K29" s="17">
        <v>0.5</v>
      </c>
      <c r="L29" s="4">
        <v>0.95</v>
      </c>
      <c r="M29" s="17">
        <v>0.95</v>
      </c>
      <c r="N29" s="4">
        <v>0.95</v>
      </c>
      <c r="O29" s="4">
        <v>0.95</v>
      </c>
      <c r="P29" s="4">
        <v>0</v>
      </c>
      <c r="Q29" s="4">
        <v>0</v>
      </c>
      <c r="R29" s="110"/>
      <c r="AJ29" s="100"/>
      <c r="AK29" s="100"/>
    </row>
    <row r="30" spans="1:37" ht="25.8" thickBot="1">
      <c r="A30" s="3">
        <v>17</v>
      </c>
      <c r="B30" s="115"/>
      <c r="C30" s="4">
        <v>1</v>
      </c>
      <c r="D30" s="107"/>
      <c r="E30" s="107"/>
      <c r="F30" s="10">
        <v>0.95</v>
      </c>
      <c r="G30" s="107"/>
      <c r="H30" s="10">
        <v>0.95</v>
      </c>
      <c r="I30" s="10">
        <v>0</v>
      </c>
      <c r="J30" s="4">
        <v>0.5</v>
      </c>
      <c r="K30" s="17">
        <v>0.5</v>
      </c>
      <c r="L30" s="4">
        <v>0.95</v>
      </c>
      <c r="M30" s="17">
        <v>0.95</v>
      </c>
      <c r="N30" s="4">
        <v>0.1</v>
      </c>
      <c r="O30" s="4">
        <v>0</v>
      </c>
      <c r="P30" s="4">
        <v>0</v>
      </c>
      <c r="Q30" s="4">
        <v>0</v>
      </c>
      <c r="R30" s="110"/>
    </row>
    <row r="31" spans="1:37" ht="25.8" thickBot="1">
      <c r="A31" s="3">
        <v>18</v>
      </c>
      <c r="B31" s="115"/>
      <c r="C31" s="4">
        <v>1</v>
      </c>
      <c r="D31" s="107"/>
      <c r="E31" s="107"/>
      <c r="F31" s="10">
        <v>0.95</v>
      </c>
      <c r="G31" s="107"/>
      <c r="H31" s="10">
        <v>0.95</v>
      </c>
      <c r="I31" s="10">
        <v>0</v>
      </c>
      <c r="J31" s="4">
        <v>0.5</v>
      </c>
      <c r="K31" s="17">
        <v>0.5</v>
      </c>
      <c r="L31" s="4">
        <v>0.95</v>
      </c>
      <c r="M31" s="17">
        <v>0.95</v>
      </c>
      <c r="N31" s="4">
        <v>0</v>
      </c>
      <c r="O31" s="4">
        <v>0.1</v>
      </c>
      <c r="P31" s="4">
        <v>0</v>
      </c>
      <c r="Q31" s="4">
        <v>0</v>
      </c>
      <c r="R31" s="110"/>
    </row>
    <row r="32" spans="1:37" ht="25.8" thickBot="1">
      <c r="A32" s="3">
        <v>19</v>
      </c>
      <c r="B32" s="115"/>
      <c r="C32" s="4">
        <v>1</v>
      </c>
      <c r="D32" s="107"/>
      <c r="E32" s="107"/>
      <c r="F32" s="10">
        <v>0.95</v>
      </c>
      <c r="G32" s="107"/>
      <c r="H32" s="10">
        <v>0.95</v>
      </c>
      <c r="I32" s="10">
        <v>0</v>
      </c>
      <c r="J32" s="4">
        <v>0.5</v>
      </c>
      <c r="K32" s="17">
        <v>0.5</v>
      </c>
      <c r="L32" s="4">
        <v>0.95</v>
      </c>
      <c r="M32" s="17">
        <v>0.95</v>
      </c>
      <c r="N32" s="4">
        <v>0</v>
      </c>
      <c r="O32" s="4">
        <v>0</v>
      </c>
      <c r="P32" s="4">
        <v>0</v>
      </c>
      <c r="Q32" s="4">
        <v>0</v>
      </c>
      <c r="R32" s="110"/>
    </row>
    <row r="33" spans="1:18" ht="25.8" thickBot="1">
      <c r="A33" s="3">
        <v>20</v>
      </c>
      <c r="B33" s="115"/>
      <c r="C33" s="4">
        <v>1</v>
      </c>
      <c r="D33" s="107"/>
      <c r="E33" s="107"/>
      <c r="F33" s="10">
        <v>0</v>
      </c>
      <c r="G33" s="107"/>
      <c r="H33" s="10">
        <v>0.95</v>
      </c>
      <c r="I33" s="4">
        <v>0</v>
      </c>
      <c r="J33" s="4">
        <v>0.95</v>
      </c>
      <c r="K33" s="17">
        <v>0.95</v>
      </c>
      <c r="L33" s="4">
        <v>0.2</v>
      </c>
      <c r="M33" s="17">
        <v>0.95</v>
      </c>
      <c r="N33" s="4">
        <v>0</v>
      </c>
      <c r="O33" s="4">
        <v>0</v>
      </c>
      <c r="P33" s="4">
        <v>0</v>
      </c>
      <c r="Q33" s="4">
        <v>0</v>
      </c>
      <c r="R33" s="110"/>
    </row>
    <row r="34" spans="1:18" ht="25.8" thickBot="1">
      <c r="A34" s="3">
        <v>21</v>
      </c>
      <c r="B34" s="115"/>
      <c r="C34" s="4">
        <v>1</v>
      </c>
      <c r="D34" s="107"/>
      <c r="E34" s="107"/>
      <c r="F34" s="10">
        <v>0</v>
      </c>
      <c r="G34" s="107"/>
      <c r="H34" s="10">
        <v>0.95</v>
      </c>
      <c r="I34" s="4">
        <v>0</v>
      </c>
      <c r="J34" s="4">
        <v>0.95</v>
      </c>
      <c r="K34" s="17">
        <v>0.95</v>
      </c>
      <c r="L34" s="4">
        <f>0/4</f>
        <v>0</v>
      </c>
      <c r="M34" s="17">
        <v>0.95</v>
      </c>
      <c r="N34" s="4">
        <v>0</v>
      </c>
      <c r="O34" s="4">
        <v>0</v>
      </c>
      <c r="P34" s="4">
        <v>0</v>
      </c>
      <c r="Q34" s="4">
        <v>0</v>
      </c>
      <c r="R34" s="110"/>
    </row>
    <row r="35" spans="1:18" ht="25.8" thickBot="1">
      <c r="A35" s="3">
        <v>22</v>
      </c>
      <c r="B35" s="115"/>
      <c r="C35" s="4">
        <v>1</v>
      </c>
      <c r="D35" s="107"/>
      <c r="E35" s="107"/>
      <c r="F35" s="10">
        <v>0</v>
      </c>
      <c r="G35" s="107"/>
      <c r="H35" s="10">
        <v>0.95</v>
      </c>
      <c r="I35" s="4">
        <v>0</v>
      </c>
      <c r="J35" s="4">
        <v>0.95</v>
      </c>
      <c r="K35" s="17">
        <v>0.95</v>
      </c>
      <c r="L35" s="4">
        <v>0.95</v>
      </c>
      <c r="M35" s="17">
        <v>0.95</v>
      </c>
      <c r="N35" s="4">
        <v>0</v>
      </c>
      <c r="O35" s="4">
        <v>0</v>
      </c>
      <c r="P35" s="4">
        <v>0</v>
      </c>
      <c r="Q35" s="4">
        <v>0</v>
      </c>
      <c r="R35" s="5">
        <v>0</v>
      </c>
    </row>
    <row r="36" spans="1:18" ht="25.8" thickBot="1">
      <c r="A36" s="3">
        <v>23</v>
      </c>
      <c r="B36" s="115"/>
      <c r="C36" s="4">
        <v>1</v>
      </c>
      <c r="D36" s="107"/>
      <c r="E36" s="107"/>
      <c r="F36" s="10">
        <v>0</v>
      </c>
      <c r="G36" s="107"/>
      <c r="H36" s="10">
        <v>0.95</v>
      </c>
      <c r="I36" s="4">
        <v>0</v>
      </c>
      <c r="J36" s="4">
        <v>0.5</v>
      </c>
      <c r="K36" s="17">
        <v>0.5</v>
      </c>
      <c r="L36" s="4">
        <f t="shared" ref="L36:L38" si="4">0/4</f>
        <v>0</v>
      </c>
      <c r="M36" s="17">
        <v>0.95</v>
      </c>
      <c r="N36" s="4">
        <v>0</v>
      </c>
      <c r="O36" s="4">
        <v>0</v>
      </c>
      <c r="P36" s="4">
        <v>0</v>
      </c>
      <c r="Q36" s="4">
        <v>0</v>
      </c>
      <c r="R36" s="110" t="s">
        <v>23</v>
      </c>
    </row>
    <row r="37" spans="1:18" ht="25.8" thickBot="1">
      <c r="A37" s="3">
        <v>24</v>
      </c>
      <c r="B37" s="115"/>
      <c r="C37" s="4">
        <v>1</v>
      </c>
      <c r="D37" s="107"/>
      <c r="E37" s="107"/>
      <c r="F37" s="10">
        <v>0</v>
      </c>
      <c r="G37" s="107"/>
      <c r="H37" s="10">
        <v>0.95</v>
      </c>
      <c r="I37" s="4">
        <v>0</v>
      </c>
      <c r="J37" s="4">
        <v>0.5</v>
      </c>
      <c r="K37" s="17">
        <v>0.5</v>
      </c>
      <c r="L37" s="4">
        <f t="shared" si="4"/>
        <v>0</v>
      </c>
      <c r="M37" s="17">
        <v>0.5</v>
      </c>
      <c r="N37" s="4">
        <v>0</v>
      </c>
      <c r="O37" s="4">
        <v>0</v>
      </c>
      <c r="P37" s="4">
        <v>0</v>
      </c>
      <c r="Q37" s="4">
        <v>0</v>
      </c>
      <c r="R37" s="110"/>
    </row>
    <row r="38" spans="1:18" ht="25.8" thickBot="1">
      <c r="A38" s="3">
        <v>25</v>
      </c>
      <c r="B38" s="115"/>
      <c r="C38" s="4">
        <v>1</v>
      </c>
      <c r="D38" s="107"/>
      <c r="E38" s="107"/>
      <c r="F38" s="10">
        <v>0</v>
      </c>
      <c r="G38" s="107"/>
      <c r="H38" s="10">
        <v>0.95</v>
      </c>
      <c r="I38" s="4">
        <v>0</v>
      </c>
      <c r="J38" s="4">
        <v>0.95</v>
      </c>
      <c r="K38" s="17">
        <v>0.95</v>
      </c>
      <c r="L38" s="4">
        <f t="shared" si="4"/>
        <v>0</v>
      </c>
      <c r="M38" s="17">
        <v>0.95</v>
      </c>
      <c r="N38" s="4">
        <v>0</v>
      </c>
      <c r="O38" s="4">
        <v>0</v>
      </c>
      <c r="P38" s="4">
        <v>0</v>
      </c>
      <c r="Q38" s="4">
        <v>0</v>
      </c>
      <c r="R38" s="110"/>
    </row>
    <row r="39" spans="1:18" ht="25.8" thickBot="1">
      <c r="A39" s="3">
        <v>26</v>
      </c>
      <c r="B39" s="115"/>
      <c r="C39" s="4">
        <v>1</v>
      </c>
      <c r="D39" s="107"/>
      <c r="E39" s="107"/>
      <c r="F39" s="10">
        <v>0</v>
      </c>
      <c r="G39" s="107"/>
      <c r="H39" s="10">
        <v>0.95</v>
      </c>
      <c r="I39" s="4">
        <v>0</v>
      </c>
      <c r="J39" s="4">
        <v>0.95</v>
      </c>
      <c r="K39" s="17">
        <v>0.95</v>
      </c>
      <c r="L39" s="4">
        <v>0.95</v>
      </c>
      <c r="M39" s="17">
        <v>0.95</v>
      </c>
      <c r="N39" s="4">
        <v>0</v>
      </c>
      <c r="O39" s="4">
        <v>0</v>
      </c>
      <c r="P39" s="4">
        <v>0</v>
      </c>
      <c r="Q39" s="4">
        <v>0</v>
      </c>
      <c r="R39" s="110"/>
    </row>
    <row r="40" spans="1:18" ht="25.8" thickBot="1">
      <c r="A40" s="3">
        <v>27</v>
      </c>
      <c r="B40" s="115"/>
      <c r="C40" s="4">
        <v>1</v>
      </c>
      <c r="D40" s="107"/>
      <c r="E40" s="107"/>
      <c r="F40" s="10">
        <v>0</v>
      </c>
      <c r="G40" s="107"/>
      <c r="H40" s="10">
        <v>0.95</v>
      </c>
      <c r="I40" s="4">
        <v>0</v>
      </c>
      <c r="J40" s="4">
        <v>0.95</v>
      </c>
      <c r="K40" s="17">
        <v>0.95</v>
      </c>
      <c r="L40" s="4">
        <f t="shared" ref="L40:L45" si="5">0/4</f>
        <v>0</v>
      </c>
      <c r="M40" s="17">
        <v>0.95</v>
      </c>
      <c r="N40" s="4">
        <v>0</v>
      </c>
      <c r="O40" s="4">
        <v>0</v>
      </c>
      <c r="P40" s="4">
        <v>0</v>
      </c>
      <c r="Q40" s="4">
        <v>0</v>
      </c>
      <c r="R40" s="110"/>
    </row>
    <row r="41" spans="1:18" ht="25.8" thickBot="1">
      <c r="A41" s="3">
        <v>28</v>
      </c>
      <c r="B41" s="115"/>
      <c r="C41" s="4">
        <v>1</v>
      </c>
      <c r="D41" s="107"/>
      <c r="E41" s="107"/>
      <c r="F41" s="10">
        <v>0</v>
      </c>
      <c r="G41" s="107"/>
      <c r="H41" s="10">
        <v>0.95</v>
      </c>
      <c r="I41" s="4">
        <v>0</v>
      </c>
      <c r="J41" s="4">
        <f t="shared" ref="J37:J45" si="6">0/6</f>
        <v>0</v>
      </c>
      <c r="K41" s="17">
        <v>0</v>
      </c>
      <c r="L41" s="4">
        <f t="shared" si="5"/>
        <v>0</v>
      </c>
      <c r="M41" s="17">
        <f t="shared" ref="M41:M45" si="7">0/4</f>
        <v>0</v>
      </c>
      <c r="N41" s="4">
        <v>0</v>
      </c>
      <c r="O41" s="4">
        <v>0</v>
      </c>
      <c r="P41" s="4">
        <v>0</v>
      </c>
      <c r="Q41" s="4">
        <v>0</v>
      </c>
      <c r="R41" s="110"/>
    </row>
    <row r="42" spans="1:18" ht="25.8" thickBot="1">
      <c r="A42" s="3">
        <v>29</v>
      </c>
      <c r="B42" s="115"/>
      <c r="C42" s="4">
        <v>1</v>
      </c>
      <c r="D42" s="107"/>
      <c r="E42" s="107"/>
      <c r="F42" s="10">
        <v>0</v>
      </c>
      <c r="G42" s="107"/>
      <c r="H42" s="4">
        <v>0</v>
      </c>
      <c r="I42" s="4">
        <v>0</v>
      </c>
      <c r="J42" s="4">
        <f t="shared" si="6"/>
        <v>0</v>
      </c>
      <c r="K42" s="17">
        <v>0</v>
      </c>
      <c r="L42" s="4">
        <f t="shared" si="5"/>
        <v>0</v>
      </c>
      <c r="M42" s="17">
        <f t="shared" si="7"/>
        <v>0</v>
      </c>
      <c r="N42" s="4">
        <v>0</v>
      </c>
      <c r="O42" s="4">
        <v>0</v>
      </c>
      <c r="P42" s="4">
        <v>0</v>
      </c>
      <c r="Q42" s="4">
        <v>0</v>
      </c>
      <c r="R42" s="110"/>
    </row>
    <row r="43" spans="1:18" ht="25.2">
      <c r="A43" s="3">
        <v>30</v>
      </c>
      <c r="B43" s="115"/>
      <c r="C43" s="4">
        <v>1</v>
      </c>
      <c r="D43" s="108"/>
      <c r="E43" s="108"/>
      <c r="F43" s="10">
        <v>0</v>
      </c>
      <c r="G43" s="108"/>
      <c r="H43" s="4">
        <v>0</v>
      </c>
      <c r="I43" s="4">
        <v>0</v>
      </c>
      <c r="J43" s="4">
        <f t="shared" si="6"/>
        <v>0</v>
      </c>
      <c r="K43" s="17">
        <v>0</v>
      </c>
      <c r="L43" s="4">
        <f t="shared" si="5"/>
        <v>0</v>
      </c>
      <c r="M43" s="17">
        <f t="shared" si="7"/>
        <v>0</v>
      </c>
      <c r="N43" s="4">
        <v>0</v>
      </c>
      <c r="O43" s="4">
        <v>0</v>
      </c>
      <c r="P43" s="4">
        <v>0</v>
      </c>
      <c r="Q43" s="4">
        <v>0</v>
      </c>
      <c r="R43" s="110"/>
    </row>
    <row r="44" spans="1:18" ht="25.2">
      <c r="A44" s="3">
        <v>31</v>
      </c>
      <c r="B44" s="115"/>
      <c r="C44" s="4">
        <v>0.5</v>
      </c>
      <c r="D44" s="4">
        <v>0.95</v>
      </c>
      <c r="E44" s="4">
        <v>0.95</v>
      </c>
      <c r="F44" s="4">
        <v>0</v>
      </c>
      <c r="G44" s="4">
        <v>0</v>
      </c>
      <c r="H44" s="4">
        <v>0</v>
      </c>
      <c r="I44" s="4">
        <v>0</v>
      </c>
      <c r="J44" s="4">
        <f t="shared" si="6"/>
        <v>0</v>
      </c>
      <c r="K44" s="17">
        <v>0</v>
      </c>
      <c r="L44" s="4">
        <f t="shared" si="5"/>
        <v>0</v>
      </c>
      <c r="M44" s="17">
        <f t="shared" si="7"/>
        <v>0</v>
      </c>
      <c r="N44" s="4">
        <v>0</v>
      </c>
      <c r="O44" s="4">
        <v>0</v>
      </c>
      <c r="P44" s="4">
        <v>0</v>
      </c>
      <c r="Q44" s="4">
        <v>0</v>
      </c>
      <c r="R44" s="110"/>
    </row>
    <row r="45" spans="1:18" ht="50.4" customHeight="1" thickBot="1">
      <c r="A45" s="6" t="s">
        <v>24</v>
      </c>
      <c r="B45" s="116"/>
      <c r="C45" s="7">
        <v>0.1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f t="shared" si="6"/>
        <v>0</v>
      </c>
      <c r="K45" s="18">
        <v>0</v>
      </c>
      <c r="L45" s="7">
        <f t="shared" si="5"/>
        <v>0</v>
      </c>
      <c r="M45" s="18">
        <f t="shared" si="7"/>
        <v>0</v>
      </c>
      <c r="N45" s="7">
        <v>0</v>
      </c>
      <c r="O45" s="7">
        <v>0</v>
      </c>
      <c r="P45" s="7">
        <v>0</v>
      </c>
      <c r="Q45" s="7">
        <v>0</v>
      </c>
      <c r="R45" s="8">
        <v>0</v>
      </c>
    </row>
    <row r="46" spans="1:18" ht="25.2">
      <c r="A46" s="11"/>
      <c r="B46" s="11"/>
      <c r="C46" s="12">
        <f t="shared" ref="C46:R46" si="8">AVERAGE(C6:C45)</f>
        <v>0.93125000000000013</v>
      </c>
      <c r="D46" s="12">
        <f t="shared" si="8"/>
        <v>0.47499999999999998</v>
      </c>
      <c r="E46" s="12">
        <f t="shared" si="8"/>
        <v>0.47499999999999998</v>
      </c>
      <c r="F46" s="12">
        <f t="shared" si="8"/>
        <v>0.54624999999999979</v>
      </c>
      <c r="G46" s="12">
        <f t="shared" si="8"/>
        <v>0</v>
      </c>
      <c r="H46" s="12">
        <f t="shared" si="8"/>
        <v>0.78374999999999961</v>
      </c>
      <c r="I46" s="105">
        <f t="shared" si="8"/>
        <v>0.12125</v>
      </c>
      <c r="J46" s="12">
        <f t="shared" si="8"/>
        <v>0.57749999999999979</v>
      </c>
      <c r="K46" s="99">
        <f t="shared" si="8"/>
        <v>0.57749999999999979</v>
      </c>
      <c r="L46" s="12">
        <f t="shared" si="8"/>
        <v>0.39499999999999985</v>
      </c>
      <c r="M46" s="99">
        <f t="shared" si="8"/>
        <v>0.65374999999999972</v>
      </c>
      <c r="N46" s="105">
        <f t="shared" si="8"/>
        <v>0.14749999999999999</v>
      </c>
      <c r="O46" s="105">
        <f t="shared" si="8"/>
        <v>0.2</v>
      </c>
      <c r="P46" s="105">
        <f t="shared" si="8"/>
        <v>4.4999999999999998E-2</v>
      </c>
      <c r="Q46" s="105">
        <f t="shared" si="8"/>
        <v>0</v>
      </c>
      <c r="R46" s="105">
        <f t="shared" si="8"/>
        <v>0</v>
      </c>
    </row>
  </sheetData>
  <mergeCells count="23">
    <mergeCell ref="B6:B25"/>
    <mergeCell ref="B26:B45"/>
    <mergeCell ref="D6:D23"/>
    <mergeCell ref="D26:D43"/>
    <mergeCell ref="A1:Q1"/>
    <mergeCell ref="A2:Q2"/>
    <mergeCell ref="A3:Q3"/>
    <mergeCell ref="C4:F4"/>
    <mergeCell ref="G4:I4"/>
    <mergeCell ref="J4:K4"/>
    <mergeCell ref="L4:N4"/>
    <mergeCell ref="A4:B5"/>
    <mergeCell ref="O4:P4"/>
    <mergeCell ref="E6:E23"/>
    <mergeCell ref="E26:E43"/>
    <mergeCell ref="G6:G23"/>
    <mergeCell ref="G26:G43"/>
    <mergeCell ref="R1:R3"/>
    <mergeCell ref="R6:R14"/>
    <mergeCell ref="R16:R24"/>
    <mergeCell ref="R26:R34"/>
    <mergeCell ref="R36:R44"/>
    <mergeCell ref="Q4:R4"/>
  </mergeCells>
  <conditionalFormatting sqref="C6:C25 F6:R6 F24:M25 J34:L35 F44:L45 C45 N25:R25 N34:Q44 N45:R45 N15:R16 N17:Q24 L6:L25 L36:L45 F7:F23 N7:Q14 F33:F43 H26:H41 H7:M23 H36:L43">
    <cfRule type="dataBar" priority="49">
      <dataBar>
        <cfvo type="min"/>
        <cfvo type="max"/>
        <color rgb="FF63C384"/>
      </dataBar>
      <extLst>
        <ext uri="{B025F937-C7B1-47D3-B67F-A62EFF666E3E}">
          <ns3:id>{3B394AC6-2E33-4111-9224-3A1DE849EBEE}</ns3:id>
        </ext>
      </extLst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C25">
    <cfRule type="dataBar" priority="35">
      <dataBar>
        <cfvo type="min"/>
        <cfvo type="max"/>
        <color rgb="FF63C384"/>
      </dataBar>
      <extLst>
        <ext uri="{B025F937-C7B1-47D3-B67F-A62EFF666E3E}">
          <ns3:id>{1B66B904-3451-4A48-A042-72A3E9767670}</ns3:id>
        </ext>
      </extLst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C45 F6:R4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6">
      <dataBar>
        <cfvo type="min"/>
        <cfvo type="max"/>
        <color rgb="FF63C384"/>
      </dataBar>
      <extLst>
        <ext uri="{B025F937-C7B1-47D3-B67F-A62EFF666E3E}">
          <ns3:id>{6178F2FF-113A-4D64-9A55-F806E0F38586}</ns3:id>
        </ext>
      </extLst>
    </cfRule>
  </conditionalFormatting>
  <conditionalFormatting sqref="C26:C44">
    <cfRule type="dataBar" priority="39">
      <dataBar>
        <cfvo type="min"/>
        <cfvo type="max"/>
        <color rgb="FF63C384"/>
      </dataBar>
      <extLst>
        <ext uri="{B025F937-C7B1-47D3-B67F-A62EFF666E3E}">
          <ns3:id>{E75B804D-4D4B-4159-994A-4DC4901D3238}</ns3:id>
        </ext>
      </extLst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C4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43 C26 C44">
    <cfRule type="dataBar" priority="41">
      <dataBar>
        <cfvo type="min"/>
        <cfvo type="max"/>
        <color rgb="FF63C384"/>
      </dataBar>
      <extLst>
        <ext uri="{B025F937-C7B1-47D3-B67F-A62EFF666E3E}">
          <ns3:id>{3FD3A52A-BC28-4A5A-A370-5A406081130B}</ns3:id>
        </ext>
      </extLst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R45">
    <cfRule type="dataBar" priority="2">
      <dataBar>
        <cfvo type="min"/>
        <cfvo type="max"/>
        <color rgb="FF63C384"/>
      </dataBar>
      <extLst>
        <ext uri="{B025F937-C7B1-47D3-B67F-A62EFF666E3E}">
          <ns3:id>{FEDFC549-DCEE-43AB-8AEE-02765F872CA2}</ns3:id>
        </ext>
      </extLst>
    </cfRule>
    <cfRule type="aboveAverage" dxfId="19" priority="5" aboveAverage="0"/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E6 D24:E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5">
      <dataBar>
        <cfvo type="min"/>
        <cfvo type="max"/>
        <color rgb="FF63C384"/>
      </dataBar>
      <extLst>
        <ext uri="{B025F937-C7B1-47D3-B67F-A62EFF666E3E}">
          <ns3:id>{5BD8B6D8-4968-4DD8-B8A9-471FEAEE192A}</ns3:id>
        </ext>
      </extLst>
    </cfRule>
  </conditionalFormatting>
  <conditionalFormatting sqref="D6:E25">
    <cfRule type="dataBar" priority="23">
      <dataBar>
        <cfvo type="min"/>
        <cfvo type="max"/>
        <color rgb="FF63C384"/>
      </dataBar>
      <extLst>
        <ext uri="{B025F937-C7B1-47D3-B67F-A62EFF666E3E}">
          <ns3:id>{96641237-F530-4C30-923D-98375C20AC04}</ns3:id>
        </ext>
      </extLst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E26 D44:E4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3">
      <dataBar>
        <cfvo type="min"/>
        <cfvo type="max"/>
        <color rgb="FF63C384"/>
      </dataBar>
      <extLst>
        <ext uri="{B025F937-C7B1-47D3-B67F-A62EFF666E3E}">
          <ns3:id>{A8162A29-376F-4F8E-A008-69A52B3FC97F}</ns3:id>
        </ext>
      </extLst>
    </cfRule>
  </conditionalFormatting>
  <conditionalFormatting sqref="D26:E4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8">
      <dataBar>
        <cfvo type="min"/>
        <cfvo type="max"/>
        <color rgb="FF63C384"/>
      </dataBar>
      <extLst>
        <ext uri="{B025F937-C7B1-47D3-B67F-A62EFF666E3E}">
          <ns3:id>{2B457CDA-192A-498B-B097-84F5697D58BB}</ns3:id>
        </ext>
      </extLst>
    </cfRule>
  </conditionalFormatting>
  <conditionalFormatting sqref="F26:F43">
    <cfRule type="dataBar" priority="19">
      <dataBar>
        <cfvo type="min"/>
        <cfvo type="max"/>
        <color rgb="FF63C384"/>
      </dataBar>
      <extLst>
        <ext uri="{B025F937-C7B1-47D3-B67F-A62EFF666E3E}">
          <ns3:id>{00B6732A-CE6C-476A-8627-02916E2796BE}</ns3:id>
        </ext>
      </extLst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7">
      <dataBar>
        <cfvo type="min"/>
        <cfvo type="max"/>
        <color rgb="FF63C384"/>
      </dataBar>
      <extLst>
        <ext uri="{B025F937-C7B1-47D3-B67F-A62EFF666E3E}">
          <ns3:id>{344FFAF0-A7F2-4DB5-8C70-5C08C1A6FCD1}</ns3:id>
        </ext>
      </extLst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">
    <cfRule type="dataBar" priority="15">
      <dataBar>
        <cfvo type="min"/>
        <cfvo type="max"/>
        <color rgb="FF63C384"/>
      </dataBar>
      <extLst>
        <ext uri="{B025F937-C7B1-47D3-B67F-A62EFF666E3E}">
          <ns3:id>{43AF006F-A636-4326-9F07-36CABC7C1F74}</ns3:id>
        </ext>
      </extLst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:I3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3">
      <dataBar>
        <cfvo type="min"/>
        <cfvo type="max"/>
        <color rgb="FF63C384"/>
      </dataBar>
      <extLst>
        <ext uri="{B025F937-C7B1-47D3-B67F-A62EFF666E3E}">
          <ns3:id>{95524A12-9B14-4609-939A-715A879D0E52}</ns3:id>
        </ext>
      </extLst>
    </cfRule>
  </conditionalFormatting>
  <conditionalFormatting sqref="J34:K35 J26:Q33 M28:M3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1">
      <dataBar>
        <cfvo type="min"/>
        <cfvo type="max"/>
        <color rgb="FF63C384"/>
      </dataBar>
      <extLst>
        <ext uri="{B025F937-C7B1-47D3-B67F-A62EFF666E3E}">
          <ns3:id>{BBC338D7-3AFD-45D1-A161-34D342C18D75}</ns3:id>
        </ext>
      </extLst>
    </cfRule>
  </conditionalFormatting>
  <conditionalFormatting sqref="L26:L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">
      <dataBar>
        <cfvo type="min"/>
        <cfvo type="max"/>
        <color rgb="FF63C384"/>
      </dataBar>
      <extLst>
        <ext uri="{B025F937-C7B1-47D3-B67F-A62EFF666E3E}">
          <ns3:id>{6C6F3769-45B6-4FEF-BF4B-2C3B277227D8}</ns3:id>
        </ext>
      </extLst>
    </cfRule>
  </conditionalFormatting>
  <conditionalFormatting sqref="M34:M4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3">
      <dataBar>
        <cfvo type="min"/>
        <cfvo type="max"/>
        <color rgb="FF63C384"/>
      </dataBar>
      <extLst>
        <ext uri="{B025F937-C7B1-47D3-B67F-A62EFF666E3E}">
          <ns3:id>{BFCCFE2F-14AB-4A3E-99DF-3961DC7B0CDB}</ns3:id>
        </ext>
      </extLst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5">
      <dataBar>
        <cfvo type="min"/>
        <cfvo type="max"/>
        <color rgb="FF63C384"/>
      </dataBar>
      <extLst>
        <ext uri="{B025F937-C7B1-47D3-B67F-A62EFF666E3E}">
          <ns3:id>{CA285D16-D2E2-487F-9BBB-9F9D79273182}</ns3:id>
        </ext>
      </extLst>
    </cfRule>
  </conditionalFormatting>
  <conditionalFormatting sqref="R35:R36 R2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9">
      <dataBar>
        <cfvo type="min"/>
        <cfvo type="max"/>
        <color rgb="FF63C384"/>
      </dataBar>
      <extLst>
        <ext uri="{B025F937-C7B1-47D3-B67F-A62EFF666E3E}">
          <ns3:id>{C5AC0648-6C1E-4510-BA28-776FAAE3221F}</ns3:id>
        </ext>
      </extLst>
    </cfRule>
  </conditionalFormatting>
  <pageMargins left="0.75" right="0.75" top="1" bottom="1" header="0.5" footer="0.5"/>
  <pageSetup paperSize="9" orientation="portrait" horizontalDpi="4294967293" verticalDpi="0" ns4:id="rId1"/>
  <extLst>
    <ext uri="{78C0D931-6437-407d-A8EE-F0AAD7539E65}">
      <ns3:conditionalFormattings>
        <ns3:conditionalFormatting>
          <ns3:cfRule type="dataBar" id="{3B394AC6-2E33-4111-9224-3A1DE849EBEE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C6:C25 F6:R6 F24:M25 J34:L35 F44:L45 C45 N25:R25 N34:Q44 N45:R45 N15:R16 N17:Q24 L6:L25 L36:L45 F7:F23 N7:Q14 F33:F43 H26:H41 H7:M23 H36:L43</ns5:sqref>
        </ns3:conditionalFormatting>
        <ns3:conditionalFormatting>
          <ns3:cfRule type="dataBar" id="{1B66B904-3451-4A48-A042-72A3E9767670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C6:C25</ns5:sqref>
        </ns3:conditionalFormatting>
        <ns3:conditionalFormatting>
          <ns3:cfRule type="dataBar" id="{6178F2FF-113A-4D64-9A55-F806E0F38586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C6:C45 F6:R45</ns5:sqref>
        </ns3:conditionalFormatting>
        <ns3:conditionalFormatting>
          <ns3:cfRule type="dataBar" id="{E75B804D-4D4B-4159-994A-4DC4901D3238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C26:C44</ns5:sqref>
        </ns3:conditionalFormatting>
        <ns3:conditionalFormatting>
          <ns3:cfRule type="dataBar" id="{3FD3A52A-BC28-4A5A-A370-5A406081130B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C27:C43 C26 C44</ns5:sqref>
        </ns3:conditionalFormatting>
        <ns3:conditionalFormatting>
          <ns3:cfRule type="dataBar" id="{FEDFC549-DCEE-43AB-8AEE-02765F872CA2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C6:R45</ns5:sqref>
        </ns3:conditionalFormatting>
        <ns3:conditionalFormatting>
          <ns3:cfRule type="dataBar" id="{5BD8B6D8-4968-4DD8-B8A9-471FEAEE192A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D6:E6 D24:E25</ns5:sqref>
        </ns3:conditionalFormatting>
        <ns3:conditionalFormatting>
          <ns3:cfRule type="dataBar" id="{96641237-F530-4C30-923D-98375C20AC04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D6:E25</ns5:sqref>
        </ns3:conditionalFormatting>
        <ns3:conditionalFormatting>
          <ns3:cfRule type="dataBar" id="{A8162A29-376F-4F8E-A008-69A52B3FC97F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D26:E26 D44:E45</ns5:sqref>
        </ns3:conditionalFormatting>
        <ns3:conditionalFormatting>
          <ns3:cfRule type="dataBar" id="{2B457CDA-192A-498B-B097-84F5697D58BB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D26:E45</ns5:sqref>
        </ns3:conditionalFormatting>
        <ns3:conditionalFormatting>
          <ns3:cfRule type="dataBar" id="{00B6732A-CE6C-476A-8627-02916E2796BE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3:cfRule type="dataBar" id="{344FFAF0-A7F2-4DB5-8C70-5C08C1A6FCD1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F26:F43</ns5:sqref>
        </ns3:conditionalFormatting>
        <ns3:conditionalFormatting>
          <ns3:cfRule type="dataBar" id="{43AF006F-A636-4326-9F07-36CABC7C1F74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G26</ns5:sqref>
        </ns3:conditionalFormatting>
        <ns3:conditionalFormatting>
          <ns3:cfRule type="dataBar" id="{95524A12-9B14-4609-939A-715A879D0E52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I26:I35</ns5:sqref>
        </ns3:conditionalFormatting>
        <ns3:conditionalFormatting>
          <ns3:cfRule type="dataBar" id="{BBC338D7-3AFD-45D1-A161-34D342C18D75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J34:K35 J26:Q33 M28:M36</ns5:sqref>
        </ns3:conditionalFormatting>
        <ns3:conditionalFormatting>
          <ns3:cfRule type="dataBar" id="{6C6F3769-45B6-4FEF-BF4B-2C3B277227D8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L26:L35</ns5:sqref>
        </ns3:conditionalFormatting>
        <ns3:conditionalFormatting>
          <ns3:cfRule type="dataBar" id="{BFCCFE2F-14AB-4A3E-99DF-3961DC7B0CDB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3:cfRule type="dataBar" id="{CA285D16-D2E2-487F-9BBB-9F9D79273182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M34:M45</ns5:sqref>
        </ns3:conditionalFormatting>
        <ns3:conditionalFormatting>
          <ns3:cfRule type="dataBar" id="{C5AC0648-6C1E-4510-BA28-776FAAE3221F}">
            <ns3:dataBar minLength="0" maxLength="100" gradient="0">
              <ns3:cfvo type="autoMin"/>
              <ns3:cfvo type="autoMax"/>
              <ns3:negativeFillColor rgb="FFFF0000"/>
              <ns3:axisColor rgb="FF000000"/>
            </ns3:dataBar>
          </ns3:cfRule>
          <ns5:sqref>R35:R36 R26</ns5:sqref>
        </ns3:conditionalFormatting>
      </ns3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332C-90AF-4F47-9647-8A018CEBD6E2}">
  <dimension ref="A1:F26"/>
  <sheetViews>
    <sheetView zoomScale="86" workbookViewId="0">
      <selection activeCell="L33" sqref="L33"/>
    </sheetView>
  </sheetViews>
  <sheetFormatPr defaultRowHeight="14.4"/>
  <cols>
    <col min="1" max="1" width="38.88671875" customWidth="1"/>
    <col min="2" max="2" width="42.5546875" customWidth="1"/>
    <col min="3" max="4" width="16.33203125" customWidth="1"/>
    <col min="5" max="5" width="18.5546875" customWidth="1"/>
    <col min="6" max="6" width="16.6640625" customWidth="1"/>
  </cols>
  <sheetData>
    <row r="1" spans="1:6" ht="22.05" customHeight="1">
      <c r="A1" s="135" t="s">
        <v>97</v>
      </c>
      <c r="B1" s="136"/>
      <c r="C1" s="136"/>
      <c r="D1" s="136"/>
      <c r="E1" s="136"/>
      <c r="F1" s="136"/>
    </row>
    <row r="2" spans="1:6" ht="22.05" customHeight="1">
      <c r="A2" s="137" t="str">
        <f>IF(C8=D8,"Overall tied",IF(C8&gt;D8,"Tower A leads overall by "&amp;TEXT(C8-D8,"0.0%"),"Tower B leads overall by "&amp;TEXT(D8-C8,"0.0%")))</f>
        <v>Tower A leads overall by 3.5%</v>
      </c>
      <c r="B2" s="138"/>
      <c r="C2" s="138"/>
      <c r="D2" s="138"/>
      <c r="E2" s="138"/>
      <c r="F2" s="138"/>
    </row>
    <row r="4" spans="1:6">
      <c r="A4" s="30" t="s">
        <v>70</v>
      </c>
      <c r="B4" s="30"/>
      <c r="C4" s="30" t="s">
        <v>71</v>
      </c>
      <c r="D4" s="30" t="s">
        <v>72</v>
      </c>
      <c r="E4" s="30" t="s">
        <v>73</v>
      </c>
      <c r="F4" s="30" t="s">
        <v>74</v>
      </c>
    </row>
    <row r="5" spans="1:6">
      <c r="A5" s="32" t="s">
        <v>3</v>
      </c>
      <c r="B5" s="55"/>
      <c r="C5" s="33">
        <f>AVERAGE(C11:C17)</f>
        <v>0.51321428571428573</v>
      </c>
      <c r="D5" s="33">
        <f>AVERAGE(D11:D17)</f>
        <v>0.43892857142857139</v>
      </c>
      <c r="E5" s="34">
        <f>C5-D5</f>
        <v>7.4285714285714344E-2</v>
      </c>
      <c r="F5" s="35" t="str">
        <f>IF(C5=D5,"Tie",IF(C5&gt;D5,"Tower A","Tower B"))</f>
        <v>Tower A</v>
      </c>
    </row>
    <row r="6" spans="1:6">
      <c r="A6" s="36" t="s">
        <v>4</v>
      </c>
      <c r="B6" s="56"/>
      <c r="C6" s="37">
        <f>AVERAGE(C18:C22)</f>
        <v>0.47349999999999992</v>
      </c>
      <c r="D6" s="37">
        <f>AVERAGE(D18:D22)</f>
        <v>0.46699999999999997</v>
      </c>
      <c r="E6" s="38">
        <f>C6-D6</f>
        <v>6.4999999999999503E-3</v>
      </c>
      <c r="F6" s="39" t="str">
        <f>IF(C6=D6,"Tie",IF(C6&gt;D6,"Tower A","Tower B"))</f>
        <v>Tower A</v>
      </c>
    </row>
    <row r="7" spans="1:6">
      <c r="A7" s="40" t="s">
        <v>5</v>
      </c>
      <c r="B7" s="57"/>
      <c r="C7" s="41">
        <f>AVERAGE(C23:C26)</f>
        <v>6.1249999999999999E-2</v>
      </c>
      <c r="D7" s="41">
        <f>AVERAGE(D23:D26)</f>
        <v>6.1249999999999999E-2</v>
      </c>
      <c r="E7" s="42">
        <f>C7-D7</f>
        <v>0</v>
      </c>
      <c r="F7" s="43" t="str">
        <f>IF(C7=D7,"Tie",IF(C7&gt;D7,"Tower A","Tower B"))</f>
        <v>Tie</v>
      </c>
    </row>
    <row r="8" spans="1:6" ht="15" thickBot="1">
      <c r="A8" s="58" t="s">
        <v>75</v>
      </c>
      <c r="B8" s="59"/>
      <c r="C8" s="60">
        <f>AVERAGE(C11:C26)</f>
        <v>0.3878125</v>
      </c>
      <c r="D8" s="60">
        <f>AVERAGE(D11:D26)</f>
        <v>0.35328124999999994</v>
      </c>
      <c r="E8" s="61">
        <f>C8-D8</f>
        <v>3.4531250000000069E-2</v>
      </c>
      <c r="F8" s="62" t="str">
        <f>IF(C8=D8,"Tie",IF(C8&gt;D8,"Tower A","Tower B"))</f>
        <v>Tower A</v>
      </c>
    </row>
    <row r="9" spans="1:6" ht="15" thickTop="1"/>
    <row r="10" spans="1:6">
      <c r="A10" s="30" t="s">
        <v>70</v>
      </c>
      <c r="B10" s="30" t="s">
        <v>76</v>
      </c>
      <c r="C10" s="30" t="s">
        <v>71</v>
      </c>
      <c r="D10" s="30" t="s">
        <v>72</v>
      </c>
      <c r="E10" s="30" t="s">
        <v>73</v>
      </c>
      <c r="F10" s="30" t="s">
        <v>74</v>
      </c>
    </row>
    <row r="11" spans="1:6">
      <c r="A11" s="44" t="s">
        <v>77</v>
      </c>
      <c r="B11" s="29" t="s">
        <v>78</v>
      </c>
      <c r="C11" s="45">
        <f>AVERAGE(PROGRESSION!C6:C25)</f>
        <v>0.93250000000000011</v>
      </c>
      <c r="D11" s="45">
        <f>AVERAGE(PROGRESSION!C26:C45)</f>
        <v>0.93</v>
      </c>
      <c r="E11" s="48">
        <f>C11-D11</f>
        <v>2.5000000000000577E-3</v>
      </c>
      <c r="F11" s="49" t="str">
        <f>IF(C11=D11,"Tie",IF(C11&gt;D11,"Tower A","Tower B"))</f>
        <v>Tower A</v>
      </c>
    </row>
    <row r="12" spans="1:6">
      <c r="A12" s="44" t="s">
        <v>77</v>
      </c>
      <c r="B12" s="29" t="s">
        <v>79</v>
      </c>
      <c r="C12" s="45">
        <f>AVERAGE(PROGRESSION!D6:D25)</f>
        <v>0.47499999999999998</v>
      </c>
      <c r="D12" s="45">
        <f>AVERAGE(PROGRESSION!D26:D45)</f>
        <v>0.47499999999999998</v>
      </c>
      <c r="E12" s="48">
        <f t="shared" ref="E12:E26" si="0">C12-D12</f>
        <v>0</v>
      </c>
      <c r="F12" s="49" t="str">
        <f t="shared" ref="F12:F26" si="1">IF(C12=D12,"Tie",IF(C12&gt;D12,"Tower A","Tower B"))</f>
        <v>Tie</v>
      </c>
    </row>
    <row r="13" spans="1:6">
      <c r="A13" s="44" t="s">
        <v>77</v>
      </c>
      <c r="B13" s="29" t="s">
        <v>80</v>
      </c>
      <c r="C13" s="45">
        <f>AVERAGE(PROGRESSION!E6:E25)</f>
        <v>0.47499999999999998</v>
      </c>
      <c r="D13" s="45">
        <f>AVERAGE(PROGRESSION!E26:E45)</f>
        <v>0.47499999999999998</v>
      </c>
      <c r="E13" s="48">
        <f t="shared" si="0"/>
        <v>0</v>
      </c>
      <c r="F13" s="49" t="str">
        <f t="shared" si="1"/>
        <v>Tie</v>
      </c>
    </row>
    <row r="14" spans="1:6">
      <c r="A14" s="44" t="s">
        <v>77</v>
      </c>
      <c r="B14" s="29" t="s">
        <v>81</v>
      </c>
      <c r="C14" s="45">
        <f>AVERAGE(PROGRESSION!F6:F25)</f>
        <v>0.75999999999999979</v>
      </c>
      <c r="D14" s="45">
        <f>AVERAGE(PROGRESSION!F26:F45)</f>
        <v>0.33250000000000002</v>
      </c>
      <c r="E14" s="48">
        <f t="shared" si="0"/>
        <v>0.42749999999999977</v>
      </c>
      <c r="F14" s="49" t="str">
        <f t="shared" si="1"/>
        <v>Tower A</v>
      </c>
    </row>
    <row r="15" spans="1:6">
      <c r="A15" s="44" t="s">
        <v>77</v>
      </c>
      <c r="B15" s="29" t="s">
        <v>82</v>
      </c>
      <c r="C15" s="45">
        <f>AVERAGE(PROGRESSION!G6:G25)</f>
        <v>0</v>
      </c>
      <c r="D15" s="45">
        <f>AVERAGE(PROGRESSION!G26:G45)</f>
        <v>0</v>
      </c>
      <c r="E15" s="48">
        <f t="shared" si="0"/>
        <v>0</v>
      </c>
      <c r="F15" s="49" t="str">
        <f t="shared" si="1"/>
        <v>Tie</v>
      </c>
    </row>
    <row r="16" spans="1:6">
      <c r="A16" s="44" t="s">
        <v>77</v>
      </c>
      <c r="B16" s="29" t="s">
        <v>83</v>
      </c>
      <c r="C16" s="45">
        <f>AVERAGE(PROGRESSION!H6:H25)</f>
        <v>0.80749999999999977</v>
      </c>
      <c r="D16" s="45">
        <f>AVERAGE(PROGRESSION!H26:H45)</f>
        <v>0.75999999999999979</v>
      </c>
      <c r="E16" s="48">
        <f t="shared" si="0"/>
        <v>4.7499999999999987E-2</v>
      </c>
      <c r="F16" s="49" t="str">
        <f t="shared" si="1"/>
        <v>Tower A</v>
      </c>
    </row>
    <row r="17" spans="1:6">
      <c r="A17" s="44" t="s">
        <v>77</v>
      </c>
      <c r="B17" s="29" t="s">
        <v>84</v>
      </c>
      <c r="C17" s="45">
        <f>AVERAGE(PROGRESSION!I6:I25)</f>
        <v>0.14249999999999999</v>
      </c>
      <c r="D17" s="45">
        <f>AVERAGE(PROGRESSION!I26:I45)</f>
        <v>0.1</v>
      </c>
      <c r="E17" s="48">
        <f t="shared" si="0"/>
        <v>4.2499999999999982E-2</v>
      </c>
      <c r="F17" s="49" t="str">
        <f t="shared" si="1"/>
        <v>Tower A</v>
      </c>
    </row>
    <row r="18" spans="1:6">
      <c r="A18" s="46" t="s">
        <v>85</v>
      </c>
      <c r="B18" s="29" t="s">
        <v>86</v>
      </c>
      <c r="C18" s="45">
        <f>AVERAGE(PROGRESSION!J6:J25)</f>
        <v>0.5774999999999999</v>
      </c>
      <c r="D18" s="45">
        <f>AVERAGE(PROGRESSION!J26:J45)</f>
        <v>0.5774999999999999</v>
      </c>
      <c r="E18" s="48">
        <f t="shared" si="0"/>
        <v>0</v>
      </c>
      <c r="F18" s="49" t="str">
        <f t="shared" si="1"/>
        <v>Tie</v>
      </c>
    </row>
    <row r="19" spans="1:6">
      <c r="A19" s="46" t="s">
        <v>85</v>
      </c>
      <c r="B19" s="29" t="s">
        <v>87</v>
      </c>
      <c r="C19" s="45">
        <f>AVERAGE(PROGRESSION!K6:K25)</f>
        <v>0.5774999999999999</v>
      </c>
      <c r="D19" s="45">
        <f>AVERAGE(PROGRESSION!K26:K45)</f>
        <v>0.5774999999999999</v>
      </c>
      <c r="E19" s="48">
        <f t="shared" si="0"/>
        <v>0</v>
      </c>
      <c r="F19" s="49" t="str">
        <f t="shared" si="1"/>
        <v>Tie</v>
      </c>
    </row>
    <row r="20" spans="1:6">
      <c r="A20" s="46" t="s">
        <v>85</v>
      </c>
      <c r="B20" s="29" t="s">
        <v>88</v>
      </c>
      <c r="C20" s="45">
        <f>AVERAGE(PROGRESSION!L6:L25)</f>
        <v>0.4</v>
      </c>
      <c r="D20" s="45">
        <f>AVERAGE(PROGRESSION!L26:L45)</f>
        <v>0.39</v>
      </c>
      <c r="E20" s="48">
        <f t="shared" si="0"/>
        <v>1.0000000000000009E-2</v>
      </c>
      <c r="F20" s="49" t="str">
        <f t="shared" si="1"/>
        <v>Tower A</v>
      </c>
    </row>
    <row r="21" spans="1:6">
      <c r="A21" s="46" t="s">
        <v>85</v>
      </c>
      <c r="B21" s="29" t="s">
        <v>89</v>
      </c>
      <c r="C21" s="45">
        <f>AVERAGE(PROGRESSION!M6:M25)</f>
        <v>0.66499999999999981</v>
      </c>
      <c r="D21" s="45">
        <f>AVERAGE(PROGRESSION!M26:M45)</f>
        <v>0.64249999999999985</v>
      </c>
      <c r="E21" s="48">
        <f t="shared" si="0"/>
        <v>2.2499999999999964E-2</v>
      </c>
      <c r="F21" s="49" t="str">
        <f t="shared" si="1"/>
        <v>Tower A</v>
      </c>
    </row>
    <row r="22" spans="1:6">
      <c r="A22" s="46" t="s">
        <v>85</v>
      </c>
      <c r="B22" s="29" t="s">
        <v>90</v>
      </c>
      <c r="C22" s="45">
        <f>AVERAGE(PROGRESSION!N6:N25)</f>
        <v>0.14749999999999999</v>
      </c>
      <c r="D22" s="45">
        <f>AVERAGE(PROGRESSION!N26:N45)</f>
        <v>0.14749999999999999</v>
      </c>
      <c r="E22" s="48">
        <f t="shared" si="0"/>
        <v>0</v>
      </c>
      <c r="F22" s="49" t="str">
        <f t="shared" si="1"/>
        <v>Tie</v>
      </c>
    </row>
    <row r="23" spans="1:6">
      <c r="A23" s="47" t="s">
        <v>91</v>
      </c>
      <c r="B23" s="29" t="s">
        <v>92</v>
      </c>
      <c r="C23" s="45">
        <f>AVERAGE(PROGRESSION!O6:O25)</f>
        <v>0.2</v>
      </c>
      <c r="D23" s="45">
        <f>AVERAGE(PROGRESSION!O26:O45)</f>
        <v>0.2</v>
      </c>
      <c r="E23" s="48">
        <f t="shared" si="0"/>
        <v>0</v>
      </c>
      <c r="F23" s="49" t="str">
        <f t="shared" si="1"/>
        <v>Tie</v>
      </c>
    </row>
    <row r="24" spans="1:6">
      <c r="A24" s="47" t="s">
        <v>91</v>
      </c>
      <c r="B24" s="29" t="s">
        <v>93</v>
      </c>
      <c r="C24" s="45">
        <f>AVERAGE(PROGRESSION!P6:P25)</f>
        <v>4.4999999999999998E-2</v>
      </c>
      <c r="D24" s="45">
        <f>AVERAGE(PROGRESSION!P26:P45)</f>
        <v>4.4999999999999998E-2</v>
      </c>
      <c r="E24" s="48">
        <f t="shared" si="0"/>
        <v>0</v>
      </c>
      <c r="F24" s="49" t="str">
        <f t="shared" si="1"/>
        <v>Tie</v>
      </c>
    </row>
    <row r="25" spans="1:6">
      <c r="A25" s="47" t="s">
        <v>91</v>
      </c>
      <c r="B25" s="29" t="s">
        <v>94</v>
      </c>
      <c r="C25" s="45">
        <f>AVERAGE(PROGRESSION!Q6:Q25)</f>
        <v>0</v>
      </c>
      <c r="D25" s="45">
        <f>AVERAGE(PROGRESSION!Q26:Q45)</f>
        <v>0</v>
      </c>
      <c r="E25" s="48">
        <f t="shared" si="0"/>
        <v>0</v>
      </c>
      <c r="F25" s="49" t="str">
        <f t="shared" si="1"/>
        <v>Tie</v>
      </c>
    </row>
    <row r="26" spans="1:6">
      <c r="A26" s="47" t="s">
        <v>91</v>
      </c>
      <c r="B26" s="29" t="s">
        <v>95</v>
      </c>
      <c r="C26" s="45">
        <f>AVERAGE(PROGRESSION!R6:R25)</f>
        <v>0</v>
      </c>
      <c r="D26" s="45">
        <f>AVERAGE(PROGRESSION!R26:R45)</f>
        <v>0</v>
      </c>
      <c r="E26" s="48">
        <f t="shared" si="0"/>
        <v>0</v>
      </c>
      <c r="F26" s="49" t="str">
        <f t="shared" si="1"/>
        <v>Tie</v>
      </c>
    </row>
  </sheetData>
  <mergeCells count="2">
    <mergeCell ref="A1:F1"/>
    <mergeCell ref="A2:F2"/>
  </mergeCells>
  <conditionalFormatting sqref="C11:C26">
    <cfRule type="expression" dxfId="18" priority="5">
      <formula>C11&gt;D11</formula>
    </cfRule>
  </conditionalFormatting>
  <conditionalFormatting sqref="D11:D26">
    <cfRule type="expression" dxfId="17" priority="6">
      <formula>D11&gt;C11</formula>
    </cfRule>
  </conditionalFormatting>
  <conditionalFormatting sqref="E5:E8">
    <cfRule type="cellIs" dxfId="16" priority="1" operator="lessThan">
      <formula>0</formula>
    </cfRule>
    <cfRule type="cellIs" dxfId="15" priority="2" operator="greaterThan">
      <formula>0</formula>
    </cfRule>
  </conditionalFormatting>
  <conditionalFormatting sqref="E11:E26">
    <cfRule type="cellIs" dxfId="14" priority="3" operator="lessThan">
      <formula>0</formula>
    </cfRule>
    <cfRule type="cellIs" dxfId="13" priority="4" operator="greaterThan">
      <formula>0</formula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0F42-C1E7-480D-BAF5-567710B26EAE}">
  <dimension ref="A1:P25"/>
  <sheetViews>
    <sheetView zoomScale="70" zoomScaleNormal="70" workbookViewId="0">
      <selection activeCell="B39" sqref="B39"/>
    </sheetView>
  </sheetViews>
  <sheetFormatPr defaultRowHeight="14.4"/>
  <cols>
    <col min="1" max="1" width="48.109375" customWidth="1"/>
    <col min="2" max="2" width="37" customWidth="1"/>
    <col min="3" max="3" width="11.109375" customWidth="1"/>
    <col min="4" max="4" width="15.77734375" customWidth="1"/>
    <col min="5" max="6" width="17.5546875" customWidth="1"/>
    <col min="7" max="7" width="15.77734375" customWidth="1"/>
    <col min="8" max="9" width="14.77734375" customWidth="1"/>
    <col min="10" max="10" width="16.6640625" customWidth="1"/>
    <col min="11" max="11" width="24.109375" customWidth="1"/>
    <col min="13" max="13" width="20.33203125" customWidth="1"/>
    <col min="14" max="14" width="15.77734375" customWidth="1"/>
    <col min="15" max="16" width="14.77734375" customWidth="1"/>
  </cols>
  <sheetData>
    <row r="1" spans="1:16" ht="20.399999999999999">
      <c r="A1" s="136" t="s">
        <v>132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6">
      <c r="A2" s="138" t="str">
        <f>PROGRESSION!A3&amp;"  ·  Blue = qty/floor and ordered"</f>
        <v>Report Date: 12 SEPTEMBER 2026  ·  Blue = qty/floor and ordered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4" spans="1:16">
      <c r="A4" s="30" t="s">
        <v>99</v>
      </c>
      <c r="B4" s="30" t="s">
        <v>100</v>
      </c>
      <c r="C4" s="30" t="s">
        <v>101</v>
      </c>
      <c r="D4" s="30" t="s">
        <v>102</v>
      </c>
      <c r="E4" s="30" t="s">
        <v>103</v>
      </c>
      <c r="F4" s="30" t="s">
        <v>104</v>
      </c>
      <c r="G4" s="30" t="s">
        <v>105</v>
      </c>
      <c r="H4" s="30" t="s">
        <v>106</v>
      </c>
      <c r="I4" s="30" t="s">
        <v>107</v>
      </c>
      <c r="J4" s="30" t="s">
        <v>108</v>
      </c>
      <c r="K4" s="30" t="s">
        <v>109</v>
      </c>
      <c r="M4" s="30" t="s">
        <v>99</v>
      </c>
      <c r="N4" s="30" t="s">
        <v>105</v>
      </c>
      <c r="O4" s="30" t="s">
        <v>106</v>
      </c>
      <c r="P4" s="30" t="s">
        <v>107</v>
      </c>
    </row>
    <row r="5" spans="1:16">
      <c r="A5" s="44" t="s">
        <v>77</v>
      </c>
      <c r="B5" s="29" t="s">
        <v>110</v>
      </c>
      <c r="C5" s="49" t="s">
        <v>111</v>
      </c>
      <c r="D5" s="63">
        <v>1</v>
      </c>
      <c r="E5" s="64" cm="1">
        <f t="array" ref="E5">SUM(IF(ISNUMBER(PROGRESSION!C6:C25),1-PROGRESSION!C6:C25,0))</f>
        <v>1.35</v>
      </c>
      <c r="F5" s="64" cm="1">
        <f t="array" ref="F5">SUM(IF(ISNUMBER(PROGRESSION!C26:C45),1-PROGRESSION!C26:C45,0))</f>
        <v>1.4</v>
      </c>
      <c r="G5" s="65">
        <f>D5*(E5+F5)</f>
        <v>2.75</v>
      </c>
      <c r="H5" s="63">
        <v>0</v>
      </c>
      <c r="I5" s="65">
        <f>G5-H5</f>
        <v>2.75</v>
      </c>
      <c r="J5" s="49" t="str">
        <f>IF(I5&lt;=0,"Complete",IF(H5&gt;0,"Partial","To Order"))</f>
        <v>To Order</v>
      </c>
      <c r="K5" s="66"/>
      <c r="M5" s="44" t="s">
        <v>77</v>
      </c>
      <c r="N5" s="65">
        <f>SUMIF($A$5:$A$23,M5,$G$5:$G$23)</f>
        <v>72.899999999999991</v>
      </c>
      <c r="O5" s="65">
        <f>SUMIF($A$5:$A$23,M5,$H$5:$H$23)</f>
        <v>0</v>
      </c>
      <c r="P5" s="65">
        <f>N5-O5</f>
        <v>72.899999999999991</v>
      </c>
    </row>
    <row r="6" spans="1:16">
      <c r="A6" s="44" t="s">
        <v>77</v>
      </c>
      <c r="B6" s="29" t="s">
        <v>112</v>
      </c>
      <c r="C6" s="49" t="s">
        <v>113</v>
      </c>
      <c r="D6" s="63">
        <v>1</v>
      </c>
      <c r="E6" s="64" cm="1">
        <f t="array" ref="E6">SUM(IF(ISNUMBER(PROGRESSION!F6:F25),1-PROGRESSION!F6:F25,0))</f>
        <v>4.8000000000000007</v>
      </c>
      <c r="F6" s="64" cm="1">
        <f t="array" ref="F6">SUM(IF(ISNUMBER(PROGRESSION!F26:F45),1-PROGRESSION!F26:F45,0))</f>
        <v>13.350000000000001</v>
      </c>
      <c r="G6" s="65">
        <f t="shared" ref="G6:G23" si="0">D6*(E6+F6)</f>
        <v>18.150000000000002</v>
      </c>
      <c r="H6" s="63">
        <v>0</v>
      </c>
      <c r="I6" s="65">
        <f t="shared" ref="I6:I23" si="1">G6-H6</f>
        <v>18.150000000000002</v>
      </c>
      <c r="J6" s="49" t="str">
        <f t="shared" ref="J6:J23" si="2">IF(I6&lt;=0,"Complete",IF(H6&gt;0,"Partial","To Order"))</f>
        <v>To Order</v>
      </c>
      <c r="K6" s="66"/>
      <c r="M6" s="46" t="s">
        <v>85</v>
      </c>
      <c r="N6" s="65">
        <f>SUMIF($A$5:$A$23,M6,$G$5:$G$23)</f>
        <v>405.69999999999993</v>
      </c>
      <c r="O6" s="65">
        <f>SUMIF($A$5:$A$23,M6,$H$5:$H$23)</f>
        <v>0</v>
      </c>
      <c r="P6" s="65">
        <f>N6-O6</f>
        <v>405.69999999999993</v>
      </c>
    </row>
    <row r="7" spans="1:16">
      <c r="A7" s="44" t="s">
        <v>77</v>
      </c>
      <c r="B7" s="29" t="s">
        <v>114</v>
      </c>
      <c r="C7" s="49" t="s">
        <v>113</v>
      </c>
      <c r="D7" s="63">
        <v>1</v>
      </c>
      <c r="E7" s="64" cm="1">
        <f t="array" ref="E7">SUM(IF(ISNUMBER(PROGRESSION!H6:H25),1-PROGRESSION!H6:H25,0))</f>
        <v>3.8500000000000005</v>
      </c>
      <c r="F7" s="64" cm="1">
        <f t="array" ref="F7">SUM(IF(ISNUMBER(PROGRESSION!H26:H45),1-PROGRESSION!H26:H45,0))</f>
        <v>4.8000000000000007</v>
      </c>
      <c r="G7" s="65">
        <f t="shared" si="0"/>
        <v>8.6500000000000021</v>
      </c>
      <c r="H7" s="63">
        <v>0</v>
      </c>
      <c r="I7" s="65">
        <f t="shared" si="1"/>
        <v>8.6500000000000021</v>
      </c>
      <c r="J7" s="49" t="str">
        <f t="shared" si="2"/>
        <v>To Order</v>
      </c>
      <c r="K7" s="66"/>
      <c r="M7" s="47" t="s">
        <v>91</v>
      </c>
      <c r="N7" s="65">
        <f>SUMIF($A$5:$A$23,M7,$G$5:$G$23)</f>
        <v>114.2</v>
      </c>
      <c r="O7" s="65">
        <f>SUMIF($A$5:$A$23,M7,$H$5:$H$23)</f>
        <v>0</v>
      </c>
      <c r="P7" s="65">
        <f>N7-O7</f>
        <v>114.2</v>
      </c>
    </row>
    <row r="8" spans="1:16" ht="15" thickBot="1">
      <c r="A8" s="44" t="s">
        <v>77</v>
      </c>
      <c r="B8" s="29" t="s">
        <v>115</v>
      </c>
      <c r="C8" s="49" t="s">
        <v>113</v>
      </c>
      <c r="D8" s="63">
        <v>1</v>
      </c>
      <c r="E8" s="64" cm="1">
        <f t="array" ref="E8">SUM(IF(ISNUMBER(PROGRESSION!I6:I25),1-PROGRESSION!I6:I25,0))</f>
        <v>17.149999999999999</v>
      </c>
      <c r="F8" s="64" cm="1">
        <f t="array" ref="F8">SUM(IF(ISNUMBER(PROGRESSION!I26:I45),1-PROGRESSION!I26:I45,0))</f>
        <v>18</v>
      </c>
      <c r="G8" s="65">
        <f t="shared" si="0"/>
        <v>35.15</v>
      </c>
      <c r="H8" s="63">
        <v>0</v>
      </c>
      <c r="I8" s="65">
        <f t="shared" si="1"/>
        <v>35.15</v>
      </c>
      <c r="J8" s="49" t="str">
        <f t="shared" si="2"/>
        <v>To Order</v>
      </c>
      <c r="K8" s="66"/>
      <c r="M8" s="68" t="s">
        <v>69</v>
      </c>
      <c r="N8" s="70">
        <f>SUM(N5:N7)</f>
        <v>592.79999999999995</v>
      </c>
      <c r="O8" s="70">
        <f>SUM(O5:O7)</f>
        <v>0</v>
      </c>
      <c r="P8" s="70">
        <f>SUM(P5:P7)</f>
        <v>592.79999999999995</v>
      </c>
    </row>
    <row r="9" spans="1:16" ht="15" thickTop="1">
      <c r="A9" s="44" t="s">
        <v>77</v>
      </c>
      <c r="B9" s="29" t="s">
        <v>116</v>
      </c>
      <c r="C9" s="49" t="s">
        <v>117</v>
      </c>
      <c r="D9" s="63">
        <v>1</v>
      </c>
      <c r="E9" s="64" cm="1">
        <f t="array" ref="E9">SUM(IF(ISNUMBER(PROGRESSION!G6:G25),1-PROGRESSION!G6:G25,0))</f>
        <v>2</v>
      </c>
      <c r="F9" s="64" cm="1">
        <f t="array" ref="F9">SUM(IF(ISNUMBER(PROGRESSION!G26:G45),1-PROGRESSION!G26:G45,0))</f>
        <v>2</v>
      </c>
      <c r="G9" s="65">
        <f t="shared" si="0"/>
        <v>4</v>
      </c>
      <c r="H9" s="63">
        <v>0</v>
      </c>
      <c r="I9" s="65">
        <f t="shared" si="1"/>
        <v>4</v>
      </c>
      <c r="J9" s="49" t="str">
        <f t="shared" si="2"/>
        <v>To Order</v>
      </c>
      <c r="K9" s="66"/>
    </row>
    <row r="10" spans="1:16">
      <c r="A10" s="44" t="s">
        <v>77</v>
      </c>
      <c r="B10" s="29" t="s">
        <v>79</v>
      </c>
      <c r="C10" s="49" t="s">
        <v>118</v>
      </c>
      <c r="D10" s="63">
        <v>1</v>
      </c>
      <c r="E10" s="64" cm="1">
        <f t="array" ref="E10">SUM(IF(ISNUMBER(PROGRESSION!D6:D25),1-PROGRESSION!D6:D25,0))</f>
        <v>1.05</v>
      </c>
      <c r="F10" s="64" cm="1">
        <f t="array" ref="F10">SUM(IF(ISNUMBER(PROGRESSION!D26:D45),1-PROGRESSION!D26:D45,0))</f>
        <v>1.05</v>
      </c>
      <c r="G10" s="65">
        <f t="shared" si="0"/>
        <v>2.1</v>
      </c>
      <c r="H10" s="63">
        <v>0</v>
      </c>
      <c r="I10" s="65">
        <f t="shared" si="1"/>
        <v>2.1</v>
      </c>
      <c r="J10" s="49" t="str">
        <f t="shared" si="2"/>
        <v>To Order</v>
      </c>
      <c r="K10" s="66"/>
    </row>
    <row r="11" spans="1:16">
      <c r="A11" s="44" t="s">
        <v>77</v>
      </c>
      <c r="B11" s="29" t="s">
        <v>119</v>
      </c>
      <c r="C11" s="49" t="s">
        <v>118</v>
      </c>
      <c r="D11" s="63">
        <v>1</v>
      </c>
      <c r="E11" s="64" cm="1">
        <f t="array" ref="E11">SUM(IF(ISNUMBER(PROGRESSION!E6:E25),1-PROGRESSION!E6:E25,0))</f>
        <v>1.05</v>
      </c>
      <c r="F11" s="64" cm="1">
        <f t="array" ref="F11">SUM(IF(ISNUMBER(PROGRESSION!E26:E45),1-PROGRESSION!E26:E45,0))</f>
        <v>1.05</v>
      </c>
      <c r="G11" s="65">
        <f t="shared" si="0"/>
        <v>2.1</v>
      </c>
      <c r="H11" s="63">
        <v>0</v>
      </c>
      <c r="I11" s="65">
        <f t="shared" si="1"/>
        <v>2.1</v>
      </c>
      <c r="J11" s="49" t="str">
        <f t="shared" si="2"/>
        <v>To Order</v>
      </c>
      <c r="K11" s="66"/>
    </row>
    <row r="12" spans="1:16">
      <c r="A12" s="46" t="s">
        <v>85</v>
      </c>
      <c r="B12" s="29" t="s">
        <v>120</v>
      </c>
      <c r="C12" s="49" t="s">
        <v>111</v>
      </c>
      <c r="D12" s="63">
        <v>6</v>
      </c>
      <c r="E12" s="64" cm="1">
        <f t="array" ref="E12">SUM(IF(ISNUMBER(PROGRESSION!J6:J25),1-PROGRESSION!J6:J25,0))</f>
        <v>8.4499999999999993</v>
      </c>
      <c r="F12" s="64" cm="1">
        <f t="array" ref="F12">SUM(IF(ISNUMBER(PROGRESSION!J26:J45),1-PROGRESSION!J26:J45,0))</f>
        <v>8.4499999999999993</v>
      </c>
      <c r="G12" s="65">
        <f t="shared" si="0"/>
        <v>101.39999999999999</v>
      </c>
      <c r="H12" s="63">
        <v>0</v>
      </c>
      <c r="I12" s="65">
        <f t="shared" si="1"/>
        <v>101.39999999999999</v>
      </c>
      <c r="J12" s="49" t="str">
        <f t="shared" si="2"/>
        <v>To Order</v>
      </c>
      <c r="K12" s="66"/>
    </row>
    <row r="13" spans="1:16">
      <c r="A13" s="46" t="s">
        <v>85</v>
      </c>
      <c r="B13" s="29" t="s">
        <v>121</v>
      </c>
      <c r="C13" s="49" t="s">
        <v>111</v>
      </c>
      <c r="D13" s="63">
        <v>6</v>
      </c>
      <c r="E13" s="65">
        <f>E12</f>
        <v>8.4499999999999993</v>
      </c>
      <c r="F13" s="65">
        <f>F12</f>
        <v>8.4499999999999993</v>
      </c>
      <c r="G13" s="65">
        <f t="shared" si="0"/>
        <v>101.39999999999999</v>
      </c>
      <c r="H13" s="63">
        <v>0</v>
      </c>
      <c r="I13" s="65">
        <f t="shared" si="1"/>
        <v>101.39999999999999</v>
      </c>
      <c r="J13" s="49" t="str">
        <f t="shared" si="2"/>
        <v>To Order</v>
      </c>
      <c r="K13" s="66"/>
    </row>
    <row r="14" spans="1:16">
      <c r="A14" s="46" t="s">
        <v>85</v>
      </c>
      <c r="B14" s="29" t="s">
        <v>122</v>
      </c>
      <c r="C14" s="49" t="s">
        <v>113</v>
      </c>
      <c r="D14" s="63">
        <v>1</v>
      </c>
      <c r="E14" s="65">
        <f>E12</f>
        <v>8.4499999999999993</v>
      </c>
      <c r="F14" s="65">
        <f>F12</f>
        <v>8.4499999999999993</v>
      </c>
      <c r="G14" s="65">
        <f t="shared" si="0"/>
        <v>16.899999999999999</v>
      </c>
      <c r="H14" s="63">
        <v>0</v>
      </c>
      <c r="I14" s="65">
        <f t="shared" si="1"/>
        <v>16.899999999999999</v>
      </c>
      <c r="J14" s="49" t="str">
        <f t="shared" si="2"/>
        <v>To Order</v>
      </c>
      <c r="K14" s="66"/>
    </row>
    <row r="15" spans="1:16">
      <c r="A15" s="46" t="s">
        <v>85</v>
      </c>
      <c r="B15" s="29" t="s">
        <v>123</v>
      </c>
      <c r="C15" s="49" t="s">
        <v>113</v>
      </c>
      <c r="D15" s="63">
        <v>1</v>
      </c>
      <c r="E15" s="64" cm="1">
        <f t="array" ref="E15">SUM(IF(ISNUMBER(PROGRESSION!L6:L25),1-PROGRESSION!L6:L25,0))</f>
        <v>12</v>
      </c>
      <c r="F15" s="64" cm="1">
        <f t="array" ref="F15">SUM(IF(ISNUMBER(PROGRESSION!L26:L45),1-PROGRESSION!L26:L45,0))</f>
        <v>12.2</v>
      </c>
      <c r="G15" s="65">
        <f t="shared" si="0"/>
        <v>24.2</v>
      </c>
      <c r="H15" s="63">
        <v>0</v>
      </c>
      <c r="I15" s="65">
        <f t="shared" si="1"/>
        <v>24.2</v>
      </c>
      <c r="J15" s="49" t="str">
        <f t="shared" si="2"/>
        <v>To Order</v>
      </c>
      <c r="K15" s="66"/>
    </row>
    <row r="16" spans="1:16">
      <c r="A16" s="46" t="s">
        <v>85</v>
      </c>
      <c r="B16" s="29" t="s">
        <v>124</v>
      </c>
      <c r="C16" s="49" t="s">
        <v>113</v>
      </c>
      <c r="D16" s="63">
        <v>1</v>
      </c>
      <c r="E16" s="64" cm="1">
        <f t="array" ref="E16">SUM(IF(ISNUMBER(PROGRESSION!K6:K25),1-PROGRESSION!K6:K25,0))</f>
        <v>8.4499999999999993</v>
      </c>
      <c r="F16" s="64" cm="1">
        <f t="array" ref="F16">SUM(IF(ISNUMBER(PROGRESSION!K26:K45),1-PROGRESSION!K26:K45,0))</f>
        <v>8.4499999999999993</v>
      </c>
      <c r="G16" s="65">
        <f t="shared" si="0"/>
        <v>16.899999999999999</v>
      </c>
      <c r="H16" s="63">
        <v>0</v>
      </c>
      <c r="I16" s="65">
        <f t="shared" si="1"/>
        <v>16.899999999999999</v>
      </c>
      <c r="J16" s="49" t="str">
        <f t="shared" si="2"/>
        <v>To Order</v>
      </c>
      <c r="K16" s="66"/>
    </row>
    <row r="17" spans="1:11">
      <c r="A17" s="46" t="s">
        <v>85</v>
      </c>
      <c r="B17" s="29" t="s">
        <v>125</v>
      </c>
      <c r="C17" s="49" t="s">
        <v>111</v>
      </c>
      <c r="D17" s="63">
        <v>4</v>
      </c>
      <c r="E17" s="64" cm="1">
        <f t="array" ref="E17">SUM(IF(ISNUMBER(PROGRESSION!M6:M25),1-PROGRESSION!M6:M25,0))</f>
        <v>6.7000000000000011</v>
      </c>
      <c r="F17" s="64" cm="1">
        <f t="array" ref="F17">SUM(IF(ISNUMBER(PROGRESSION!M26:M45),1-PROGRESSION!M26:M45,0))</f>
        <v>7.15</v>
      </c>
      <c r="G17" s="65">
        <f t="shared" si="0"/>
        <v>55.400000000000006</v>
      </c>
      <c r="H17" s="63">
        <v>0</v>
      </c>
      <c r="I17" s="65">
        <f t="shared" si="1"/>
        <v>55.400000000000006</v>
      </c>
      <c r="J17" s="49" t="str">
        <f t="shared" si="2"/>
        <v>To Order</v>
      </c>
      <c r="K17" s="66"/>
    </row>
    <row r="18" spans="1:11">
      <c r="A18" s="46" t="s">
        <v>85</v>
      </c>
      <c r="B18" s="29" t="s">
        <v>126</v>
      </c>
      <c r="C18" s="49" t="s">
        <v>111</v>
      </c>
      <c r="D18" s="63">
        <v>4</v>
      </c>
      <c r="E18" s="65">
        <f>E17</f>
        <v>6.7000000000000011</v>
      </c>
      <c r="F18" s="65">
        <f>F17</f>
        <v>7.15</v>
      </c>
      <c r="G18" s="65">
        <f t="shared" si="0"/>
        <v>55.400000000000006</v>
      </c>
      <c r="H18" s="63">
        <v>0</v>
      </c>
      <c r="I18" s="65">
        <f t="shared" si="1"/>
        <v>55.400000000000006</v>
      </c>
      <c r="J18" s="49" t="str">
        <f t="shared" si="2"/>
        <v>To Order</v>
      </c>
      <c r="K18" s="66"/>
    </row>
    <row r="19" spans="1:11">
      <c r="A19" s="46" t="s">
        <v>85</v>
      </c>
      <c r="B19" s="29" t="s">
        <v>127</v>
      </c>
      <c r="C19" s="49" t="s">
        <v>113</v>
      </c>
      <c r="D19" s="63">
        <v>1</v>
      </c>
      <c r="E19" s="64" cm="1">
        <f t="array" ref="E19">SUM(IF(ISNUMBER(PROGRESSION!N6:N25),1-PROGRESSION!N6:N25,0))</f>
        <v>17.05</v>
      </c>
      <c r="F19" s="64" cm="1">
        <f t="array" ref="F19">SUM(IF(ISNUMBER(PROGRESSION!N26:N45),1-PROGRESSION!N26:N45,0))</f>
        <v>17.05</v>
      </c>
      <c r="G19" s="65">
        <f t="shared" si="0"/>
        <v>34.1</v>
      </c>
      <c r="H19" s="63">
        <v>0</v>
      </c>
      <c r="I19" s="65">
        <f t="shared" si="1"/>
        <v>34.1</v>
      </c>
      <c r="J19" s="49" t="str">
        <f t="shared" si="2"/>
        <v>To Order</v>
      </c>
      <c r="K19" s="66"/>
    </row>
    <row r="20" spans="1:11">
      <c r="A20" s="47" t="s">
        <v>91</v>
      </c>
      <c r="B20" s="29" t="s">
        <v>128</v>
      </c>
      <c r="C20" s="49" t="s">
        <v>111</v>
      </c>
      <c r="D20" s="63">
        <v>1</v>
      </c>
      <c r="E20" s="64" cm="1">
        <f t="array" ref="E20">SUM(IF(ISNUMBER(PROGRESSION!O6:O25),1-PROGRESSION!O6:O25,0))</f>
        <v>16</v>
      </c>
      <c r="F20" s="64" cm="1">
        <f t="array" ref="F20">SUM(IF(ISNUMBER(PROGRESSION!O26:O45),1-PROGRESSION!O26:O45,0))</f>
        <v>16</v>
      </c>
      <c r="G20" s="65">
        <f t="shared" si="0"/>
        <v>32</v>
      </c>
      <c r="H20" s="63">
        <v>0</v>
      </c>
      <c r="I20" s="65">
        <f t="shared" si="1"/>
        <v>32</v>
      </c>
      <c r="J20" s="49" t="str">
        <f t="shared" si="2"/>
        <v>To Order</v>
      </c>
      <c r="K20" s="66"/>
    </row>
    <row r="21" spans="1:11">
      <c r="A21" s="47" t="s">
        <v>91</v>
      </c>
      <c r="B21" s="29" t="s">
        <v>129</v>
      </c>
      <c r="C21" s="49" t="s">
        <v>111</v>
      </c>
      <c r="D21" s="63">
        <v>1</v>
      </c>
      <c r="E21" s="64" cm="1">
        <f t="array" ref="E21">SUM(IF(ISNUMBER(PROGRESSION!P6:P25),1-PROGRESSION!P6:P25,0))</f>
        <v>19.100000000000001</v>
      </c>
      <c r="F21" s="64" cm="1">
        <f t="array" ref="F21">SUM(IF(ISNUMBER(PROGRESSION!P26:P45),1-PROGRESSION!P26:P45,0))</f>
        <v>19.100000000000001</v>
      </c>
      <c r="G21" s="65">
        <f t="shared" si="0"/>
        <v>38.200000000000003</v>
      </c>
      <c r="H21" s="63">
        <v>0</v>
      </c>
      <c r="I21" s="65">
        <f t="shared" si="1"/>
        <v>38.200000000000003</v>
      </c>
      <c r="J21" s="49" t="str">
        <f t="shared" si="2"/>
        <v>To Order</v>
      </c>
      <c r="K21" s="66"/>
    </row>
    <row r="22" spans="1:11">
      <c r="A22" s="47" t="s">
        <v>91</v>
      </c>
      <c r="B22" s="29" t="s">
        <v>130</v>
      </c>
      <c r="C22" s="49" t="s">
        <v>113</v>
      </c>
      <c r="D22" s="63">
        <v>1</v>
      </c>
      <c r="E22" s="64" cm="1">
        <f t="array" ref="E22">SUM(IF(ISNUMBER(PROGRESSION!Q6:Q25),1-PROGRESSION!Q6:Q25,0))</f>
        <v>20</v>
      </c>
      <c r="F22" s="64" cm="1">
        <f t="array" ref="F22">SUM(IF(ISNUMBER(PROGRESSION!Q26:Q45),1-PROGRESSION!Q26:Q45,0))</f>
        <v>20</v>
      </c>
      <c r="G22" s="65">
        <f t="shared" si="0"/>
        <v>40</v>
      </c>
      <c r="H22" s="63">
        <v>0</v>
      </c>
      <c r="I22" s="65">
        <f t="shared" si="1"/>
        <v>40</v>
      </c>
      <c r="J22" s="49" t="str">
        <f t="shared" si="2"/>
        <v>To Order</v>
      </c>
      <c r="K22" s="66"/>
    </row>
    <row r="23" spans="1:11">
      <c r="A23" s="47" t="s">
        <v>91</v>
      </c>
      <c r="B23" s="29" t="s">
        <v>131</v>
      </c>
      <c r="C23" s="49" t="s">
        <v>118</v>
      </c>
      <c r="D23" s="63">
        <v>1</v>
      </c>
      <c r="E23" s="64" cm="1">
        <f t="array" ref="E23">SUM(IF(ISNUMBER(PROGRESSION!R6:R25),1-PROGRESSION!R6:R25,0))</f>
        <v>2</v>
      </c>
      <c r="F23" s="64" cm="1">
        <f t="array" ref="F23">SUM(IF(ISNUMBER(PROGRESSION!R26:R45),1-PROGRESSION!R26:R45,0))</f>
        <v>2</v>
      </c>
      <c r="G23" s="65">
        <f t="shared" si="0"/>
        <v>4</v>
      </c>
      <c r="H23" s="63">
        <v>0</v>
      </c>
      <c r="I23" s="65">
        <f t="shared" si="1"/>
        <v>4</v>
      </c>
      <c r="J23" s="49" t="str">
        <f t="shared" si="2"/>
        <v>To Order</v>
      </c>
      <c r="K23" s="66"/>
    </row>
    <row r="24" spans="1:11" ht="15" thickBot="1">
      <c r="A24" s="67" t="s">
        <v>69</v>
      </c>
      <c r="B24" s="68"/>
      <c r="C24" s="69"/>
      <c r="D24" s="69"/>
      <c r="E24" s="70">
        <f>SUM(E5:E23)</f>
        <v>164.60000000000002</v>
      </c>
      <c r="F24" s="70">
        <f>SUM(F5:F23)</f>
        <v>176.1</v>
      </c>
      <c r="G24" s="70">
        <f>SUM(G5:G23)</f>
        <v>592.79999999999995</v>
      </c>
      <c r="H24" s="70">
        <f>SUM(H5:H23)</f>
        <v>0</v>
      </c>
      <c r="I24" s="70">
        <f>SUM(I5:I23)</f>
        <v>592.79999999999995</v>
      </c>
      <c r="J24" s="69"/>
      <c r="K24" s="69"/>
    </row>
    <row r="25" spans="1:11" ht="15" thickTop="1"/>
  </sheetData>
  <mergeCells count="2">
    <mergeCell ref="A1:K1"/>
    <mergeCell ref="A2:K2"/>
  </mergeCells>
  <conditionalFormatting sqref="I5:I23">
    <cfRule type="cellIs" dxfId="8" priority="5" operator="greaterThan">
      <formula>0</formula>
    </cfRule>
  </conditionalFormatting>
  <conditionalFormatting sqref="J5:J23">
    <cfRule type="containsText" priority="1" operator="containsText" text="Text">
      <formula>NOT(ISERROR(SEARCH("Text",J5)))</formula>
    </cfRule>
    <cfRule type="expression" dxfId="7" priority="2">
      <formula>$J5="To Order"</formula>
    </cfRule>
    <cfRule type="expression" dxfId="6" priority="3">
      <formula>$J5="Partial"</formula>
    </cfRule>
    <cfRule type="expression" dxfId="5" priority="4">
      <formula>$J5="Complete"</formula>
    </cfRule>
  </conditionalFormatting>
  <pageMargins left="0.7" right="0.7" top="0.75" bottom="0.75" header="0.3" footer="0.3"/>
  <pageSetup paperSize="9" orientation="portrait" horizontalDpi="4294967293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0E44-6E4D-4136-B39B-4134D83CBFEE}">
  <dimension ref="A1:E26"/>
  <sheetViews>
    <sheetView workbookViewId="0">
      <selection activeCell="L33" sqref="L33"/>
    </sheetView>
  </sheetViews>
  <sheetFormatPr defaultRowHeight="14.4"/>
  <cols>
    <col min="1" max="1" width="38.88671875" customWidth="1"/>
    <col min="2" max="3" width="16.6640625" customWidth="1"/>
    <col min="4" max="4" width="18.5546875" customWidth="1"/>
    <col min="5" max="5" width="16.6640625" customWidth="1"/>
  </cols>
  <sheetData>
    <row r="1" spans="1:5" ht="22.05" customHeight="1">
      <c r="A1" s="135" t="s">
        <v>98</v>
      </c>
      <c r="B1" s="136"/>
      <c r="C1" s="136"/>
      <c r="D1" s="136"/>
      <c r="E1" s="136"/>
    </row>
    <row r="2" spans="1:5" ht="22.05" customHeight="1">
      <c r="A2" s="137" t="str">
        <f>"A ahead "&amp;COUNTIF(E5:E24,"Tower A")&amp;"  ·  B ahead "&amp;COUNTIF(E5:E24,"Tower B")&amp;"  ·  tie "&amp;COUNTIF(E5:E24,"Tie")</f>
        <v>A ahead 15  ·  B ahead 0  ·  tie 5</v>
      </c>
      <c r="B2" s="138"/>
      <c r="C2" s="138"/>
      <c r="D2" s="138"/>
      <c r="E2" s="138"/>
    </row>
    <row r="4" spans="1:5">
      <c r="A4" s="30" t="s">
        <v>96</v>
      </c>
      <c r="B4" s="30" t="s">
        <v>71</v>
      </c>
      <c r="C4" s="30" t="s">
        <v>72</v>
      </c>
      <c r="D4" s="30" t="s">
        <v>73</v>
      </c>
      <c r="E4" s="30" t="s">
        <v>74</v>
      </c>
    </row>
    <row r="5" spans="1:5">
      <c r="A5" s="51">
        <f>PROGRESSION!A6</f>
        <v>13</v>
      </c>
      <c r="B5" s="45">
        <f>AVERAGE(PROGRESSION!C6:R6)</f>
        <v>0.55833333333333335</v>
      </c>
      <c r="C5" s="45">
        <f>AVERAGE(PROGRESSION!C26:R26)</f>
        <v>0.55833333333333335</v>
      </c>
      <c r="D5" s="48">
        <f>B5-C5</f>
        <v>0</v>
      </c>
      <c r="E5" s="49" t="str">
        <f>IF(B5=C5,"Tie",IF(B5&gt;C5,"Tower A","Tower B"))</f>
        <v>Tie</v>
      </c>
    </row>
    <row r="6" spans="1:5">
      <c r="A6" s="51">
        <f>PROGRESSION!A7</f>
        <v>14</v>
      </c>
      <c r="B6" s="45">
        <f>AVERAGE(PROGRESSION!C7:R7)</f>
        <v>0.79999999999999993</v>
      </c>
      <c r="C6" s="45">
        <f>AVERAGE(PROGRESSION!C27:R27)</f>
        <v>0.79999999999999993</v>
      </c>
      <c r="D6" s="48">
        <f t="shared" ref="D6:D24" si="0">B6-C6</f>
        <v>0</v>
      </c>
      <c r="E6" s="49" t="str">
        <f t="shared" ref="E6:E24" si="1">IF(B6=C6,"Tie",IF(B6&gt;C6,"Tower A","Tower B"))</f>
        <v>Tie</v>
      </c>
    </row>
    <row r="7" spans="1:5">
      <c r="A7" s="51">
        <f>PROGRESSION!A8</f>
        <v>15</v>
      </c>
      <c r="B7" s="45">
        <f>AVERAGE(PROGRESSION!C8:R8)</f>
        <v>0.79583333333333328</v>
      </c>
      <c r="C7" s="45">
        <f>AVERAGE(PROGRESSION!C28:R28)</f>
        <v>0.79583333333333328</v>
      </c>
      <c r="D7" s="48">
        <f t="shared" si="0"/>
        <v>0</v>
      </c>
      <c r="E7" s="49" t="str">
        <f t="shared" si="1"/>
        <v>Tie</v>
      </c>
    </row>
    <row r="8" spans="1:5">
      <c r="A8" s="51">
        <f>PROGRESSION!A9</f>
        <v>16</v>
      </c>
      <c r="B8" s="45">
        <f>AVERAGE(PROGRESSION!C9:R9)</f>
        <v>0.72499999999999998</v>
      </c>
      <c r="C8" s="45">
        <f>AVERAGE(PROGRESSION!C29:R29)</f>
        <v>0.65</v>
      </c>
      <c r="D8" s="48">
        <f t="shared" si="0"/>
        <v>7.4999999999999956E-2</v>
      </c>
      <c r="E8" s="49" t="str">
        <f t="shared" si="1"/>
        <v>Tower A</v>
      </c>
    </row>
    <row r="9" spans="1:5">
      <c r="A9" s="51">
        <f>PROGRESSION!A10</f>
        <v>17</v>
      </c>
      <c r="B9" s="45">
        <f>AVERAGE(PROGRESSION!C10:R10)</f>
        <v>0.49583333333333335</v>
      </c>
      <c r="C9" s="45">
        <f>AVERAGE(PROGRESSION!C30:R30)</f>
        <v>0.49166666666666664</v>
      </c>
      <c r="D9" s="48">
        <f t="shared" si="0"/>
        <v>4.1666666666667074E-3</v>
      </c>
      <c r="E9" s="49" t="str">
        <f t="shared" si="1"/>
        <v>Tower A</v>
      </c>
    </row>
    <row r="10" spans="1:5">
      <c r="A10" s="51">
        <f>PROGRESSION!A11</f>
        <v>18</v>
      </c>
      <c r="B10" s="45">
        <f>AVERAGE(PROGRESSION!C11:R11)</f>
        <v>0.49583333333333335</v>
      </c>
      <c r="C10" s="45">
        <f>AVERAGE(PROGRESSION!C31:R31)</f>
        <v>0.49166666666666664</v>
      </c>
      <c r="D10" s="48">
        <f t="shared" si="0"/>
        <v>4.1666666666667074E-3</v>
      </c>
      <c r="E10" s="49" t="str">
        <f t="shared" si="1"/>
        <v>Tower A</v>
      </c>
    </row>
    <row r="11" spans="1:5">
      <c r="A11" s="51">
        <f>PROGRESSION!A12</f>
        <v>19</v>
      </c>
      <c r="B11" s="45">
        <f>AVERAGE(PROGRESSION!C12:R12)</f>
        <v>0.48750000000000004</v>
      </c>
      <c r="C11" s="45">
        <f>AVERAGE(PROGRESSION!C32:R32)</f>
        <v>0.48333333333333334</v>
      </c>
      <c r="D11" s="48">
        <f t="shared" si="0"/>
        <v>4.1666666666667074E-3</v>
      </c>
      <c r="E11" s="49" t="str">
        <f t="shared" si="1"/>
        <v>Tower A</v>
      </c>
    </row>
    <row r="12" spans="1:5">
      <c r="A12" s="51">
        <f>PROGRESSION!A13</f>
        <v>20</v>
      </c>
      <c r="B12" s="45">
        <f>AVERAGE(PROGRESSION!C13:R13)</f>
        <v>0.49583333333333335</v>
      </c>
      <c r="C12" s="45">
        <f>AVERAGE(PROGRESSION!C33:R33)</f>
        <v>0.41666666666666669</v>
      </c>
      <c r="D12" s="48">
        <f t="shared" si="0"/>
        <v>7.9166666666666663E-2</v>
      </c>
      <c r="E12" s="49" t="str">
        <f t="shared" si="1"/>
        <v>Tower A</v>
      </c>
    </row>
    <row r="13" spans="1:5">
      <c r="A13" s="51">
        <f>PROGRESSION!A14</f>
        <v>21</v>
      </c>
      <c r="B13" s="45">
        <f>AVERAGE(PROGRESSION!C14:R14)</f>
        <v>0.47916666666666669</v>
      </c>
      <c r="C13" s="45">
        <f>AVERAGE(PROGRESSION!C34:R34)</f>
        <v>0.39999999999999997</v>
      </c>
      <c r="D13" s="48">
        <f t="shared" si="0"/>
        <v>7.9166666666666718E-2</v>
      </c>
      <c r="E13" s="49" t="str">
        <f t="shared" si="1"/>
        <v>Tower A</v>
      </c>
    </row>
    <row r="14" spans="1:5">
      <c r="A14" s="51">
        <f>PROGRESSION!A15</f>
        <v>22</v>
      </c>
      <c r="B14" s="45">
        <f>AVERAGE(PROGRESSION!C15:R15)</f>
        <v>0.51538461538461544</v>
      </c>
      <c r="C14" s="45">
        <f>AVERAGE(PROGRESSION!C35:R35)</f>
        <v>0.44230769230769229</v>
      </c>
      <c r="D14" s="48">
        <f t="shared" si="0"/>
        <v>7.307692307692315E-2</v>
      </c>
      <c r="E14" s="49" t="str">
        <f t="shared" si="1"/>
        <v>Tower A</v>
      </c>
    </row>
    <row r="15" spans="1:5">
      <c r="A15" s="51">
        <f>PROGRESSION!A16</f>
        <v>23</v>
      </c>
      <c r="B15" s="45">
        <f>AVERAGE(PROGRESSION!C16:R16)</f>
        <v>0.40416666666666662</v>
      </c>
      <c r="C15" s="45">
        <f>AVERAGE(PROGRESSION!C36:R36)</f>
        <v>0.32500000000000001</v>
      </c>
      <c r="D15" s="48">
        <f t="shared" si="0"/>
        <v>7.9166666666666607E-2</v>
      </c>
      <c r="E15" s="49" t="str">
        <f t="shared" si="1"/>
        <v>Tower A</v>
      </c>
    </row>
    <row r="16" spans="1:5">
      <c r="A16" s="51">
        <f>PROGRESSION!A17</f>
        <v>24</v>
      </c>
      <c r="B16" s="45">
        <f>AVERAGE(PROGRESSION!C17:R17)</f>
        <v>0.40416666666666662</v>
      </c>
      <c r="C16" s="45">
        <f>AVERAGE(PROGRESSION!C37:R37)</f>
        <v>0.28750000000000003</v>
      </c>
      <c r="D16" s="48">
        <f t="shared" si="0"/>
        <v>0.11666666666666659</v>
      </c>
      <c r="E16" s="49" t="str">
        <f t="shared" si="1"/>
        <v>Tower A</v>
      </c>
    </row>
    <row r="17" spans="1:5">
      <c r="A17" s="51">
        <f>PROGRESSION!A18</f>
        <v>25</v>
      </c>
      <c r="B17" s="45">
        <f>AVERAGE(PROGRESSION!C18:R18)</f>
        <v>0.47916666666666669</v>
      </c>
      <c r="C17" s="45">
        <f>AVERAGE(PROGRESSION!C38:R38)</f>
        <v>0.39999999999999997</v>
      </c>
      <c r="D17" s="48">
        <f t="shared" si="0"/>
        <v>7.9166666666666718E-2</v>
      </c>
      <c r="E17" s="49" t="str">
        <f t="shared" si="1"/>
        <v>Tower A</v>
      </c>
    </row>
    <row r="18" spans="1:5">
      <c r="A18" s="51">
        <f>PROGRESSION!A19</f>
        <v>26</v>
      </c>
      <c r="B18" s="45">
        <f>AVERAGE(PROGRESSION!C19:R19)</f>
        <v>0.55833333333333335</v>
      </c>
      <c r="C18" s="45">
        <f>AVERAGE(PROGRESSION!C39:R39)</f>
        <v>0.47916666666666669</v>
      </c>
      <c r="D18" s="48">
        <f t="shared" si="0"/>
        <v>7.9166666666666663E-2</v>
      </c>
      <c r="E18" s="49" t="str">
        <f t="shared" si="1"/>
        <v>Tower A</v>
      </c>
    </row>
    <row r="19" spans="1:5">
      <c r="A19" s="51">
        <f>PROGRESSION!A20</f>
        <v>27</v>
      </c>
      <c r="B19" s="45">
        <f>AVERAGE(PROGRESSION!C20:R20)</f>
        <v>0.47916666666666669</v>
      </c>
      <c r="C19" s="45">
        <f>AVERAGE(PROGRESSION!C40:R40)</f>
        <v>0.39999999999999997</v>
      </c>
      <c r="D19" s="48">
        <f t="shared" si="0"/>
        <v>7.9166666666666718E-2</v>
      </c>
      <c r="E19" s="49" t="str">
        <f t="shared" si="1"/>
        <v>Tower A</v>
      </c>
    </row>
    <row r="20" spans="1:5">
      <c r="A20" s="51">
        <f>PROGRESSION!A21</f>
        <v>28</v>
      </c>
      <c r="B20" s="45">
        <f>AVERAGE(PROGRESSION!C21:R21)</f>
        <v>0.24166666666666667</v>
      </c>
      <c r="C20" s="45">
        <f>AVERAGE(PROGRESSION!C41:R41)</f>
        <v>0.16250000000000001</v>
      </c>
      <c r="D20" s="48">
        <f t="shared" si="0"/>
        <v>7.9166666666666663E-2</v>
      </c>
      <c r="E20" s="49" t="str">
        <f t="shared" si="1"/>
        <v>Tower A</v>
      </c>
    </row>
    <row r="21" spans="1:5">
      <c r="A21" s="51">
        <f>PROGRESSION!A22</f>
        <v>29</v>
      </c>
      <c r="B21" s="45">
        <f>AVERAGE(PROGRESSION!C22:R22)</f>
        <v>0.16250000000000001</v>
      </c>
      <c r="C21" s="45">
        <f>AVERAGE(PROGRESSION!C42:R42)</f>
        <v>8.3333333333333329E-2</v>
      </c>
      <c r="D21" s="48">
        <f t="shared" si="0"/>
        <v>7.9166666666666677E-2</v>
      </c>
      <c r="E21" s="49" t="str">
        <f t="shared" si="1"/>
        <v>Tower A</v>
      </c>
    </row>
    <row r="22" spans="1:5">
      <c r="A22" s="51">
        <f>PROGRESSION!A23</f>
        <v>30</v>
      </c>
      <c r="B22" s="45">
        <f>AVERAGE(PROGRESSION!C23:R23)</f>
        <v>8.3333333333333329E-2</v>
      </c>
      <c r="C22" s="45">
        <f>AVERAGE(PROGRESSION!C43:R43)</f>
        <v>8.3333333333333329E-2</v>
      </c>
      <c r="D22" s="48">
        <f t="shared" si="0"/>
        <v>0</v>
      </c>
      <c r="E22" s="49" t="str">
        <f t="shared" si="1"/>
        <v>Tie</v>
      </c>
    </row>
    <row r="23" spans="1:5">
      <c r="A23" s="51">
        <f>PROGRESSION!A24</f>
        <v>31</v>
      </c>
      <c r="B23" s="45">
        <f>AVERAGE(PROGRESSION!C24:R24)</f>
        <v>0.16333333333333336</v>
      </c>
      <c r="C23" s="45">
        <f>AVERAGE(PROGRESSION!C44:R44)</f>
        <v>0.16</v>
      </c>
      <c r="D23" s="48">
        <f t="shared" si="0"/>
        <v>3.3333333333333548E-3</v>
      </c>
      <c r="E23" s="49" t="str">
        <f t="shared" si="1"/>
        <v>Tower A</v>
      </c>
    </row>
    <row r="24" spans="1:5">
      <c r="A24" s="51" t="str">
        <f>PROGRESSION!A25</f>
        <v>31M</v>
      </c>
      <c r="B24" s="45">
        <f>AVERAGE(PROGRESSION!C25:R25)</f>
        <v>6.2500000000000003E-3</v>
      </c>
      <c r="C24" s="45">
        <f>AVERAGE(PROGRESSION!C45:R45)</f>
        <v>6.2500000000000003E-3</v>
      </c>
      <c r="D24" s="48">
        <f t="shared" si="0"/>
        <v>0</v>
      </c>
      <c r="E24" s="49" t="str">
        <f t="shared" si="1"/>
        <v>Tie</v>
      </c>
    </row>
    <row r="25" spans="1:5" ht="15" thickBot="1">
      <c r="A25" s="52" t="s">
        <v>75</v>
      </c>
      <c r="B25" s="53">
        <f>AVERAGE(B5:B24)</f>
        <v>0.44154006410256424</v>
      </c>
      <c r="C25" s="53">
        <f>AVERAGE(C5:C24)</f>
        <v>0.39584455128205132</v>
      </c>
      <c r="D25" s="54">
        <f>B25-C25</f>
        <v>4.5695512820512929E-2</v>
      </c>
      <c r="E25" s="52" t="str">
        <f>IF(B25=C25,"Tie",IF(B25&gt;C25,"Tower A","Tower B"))</f>
        <v>Tower A</v>
      </c>
    </row>
    <row r="26" spans="1:5" ht="15" thickTop="1"/>
  </sheetData>
  <mergeCells count="2">
    <mergeCell ref="A1:E1"/>
    <mergeCell ref="A2:E2"/>
  </mergeCells>
  <conditionalFormatting sqref="B5:B24">
    <cfRule type="expression" dxfId="12" priority="3">
      <formula>B5&gt;C5</formula>
    </cfRule>
  </conditionalFormatting>
  <conditionalFormatting sqref="C5:C24">
    <cfRule type="expression" dxfId="11" priority="4">
      <formula>C5&gt;B5</formula>
    </cfRule>
  </conditionalFormatting>
  <conditionalFormatting sqref="D5:D24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5AF2B2D8-7B23-4DF8-A9D4-0715BAC2C977}">
  <dimension ref="A1:F29"/>
  <sheetViews>
    <sheetView zoomScale="85" zoomScaleNormal="85" workbookViewId="0">
      <selection activeCell="Y12" sqref="Y12"/>
    </sheetView>
  </sheetViews>
  <sheetFormatPr defaultRowHeight="14.4"/>
  <cols>
    <col min="1" max="1" width="42.5546875" customWidth="1"/>
    <col min="2" max="2" width="25.88671875" customWidth="1"/>
    <col min="3" max="4" width="18.5546875" customWidth="1"/>
    <col min="5" max="5" width="13" customWidth="1"/>
    <col min="6" max="6" width="16.6640625" customWidth="1"/>
  </cols>
  <sheetData>
    <row r="1" spans="1:6" ht="20.399999999999999">
      <c r="A1" s="136" t="s">
        <v>133</v>
      </c>
      <c r="B1" s="136"/>
      <c r="C1" s="136"/>
      <c r="D1" s="136"/>
      <c r="E1" s="136"/>
      <c r="F1" s="136"/>
    </row>
    <row r="2" spans="1:6">
      <c r="A2" s="138" t="str">
        <f>PROGRESSION!A3</f>
        <v>Report Date: 12 SEPTEMBER 2026</v>
      </c>
      <c r="B2" s="138"/>
      <c r="C2" s="138"/>
      <c r="D2" s="138"/>
      <c r="E2" s="138"/>
      <c r="F2" s="138"/>
    </row>
    <row r="4" spans="1:6">
      <c r="A4" s="30" t="s">
        <v>134</v>
      </c>
      <c r="B4" s="30" t="s">
        <v>77</v>
      </c>
      <c r="C4" s="30" t="s">
        <v>85</v>
      </c>
      <c r="D4" s="30" t="s">
        <v>91</v>
      </c>
      <c r="E4" s="30" t="s">
        <v>135</v>
      </c>
      <c r="F4" s="30" t="s">
        <v>136</v>
      </c>
    </row>
    <row r="5" spans="1:6" ht="18">
      <c r="A5" s="71">
        <f>(PROGRESSION!G4+PROGRESSION!L4+PROGRESSION!Q4)/3</f>
        <v>0.33585714285714269</v>
      </c>
      <c r="B5" s="72">
        <f>PROGRESSION!G4</f>
        <v>0.47607142857142842</v>
      </c>
      <c r="C5" s="73">
        <f>PROGRESSION!L4</f>
        <v>0.47024999999999978</v>
      </c>
      <c r="D5" s="74">
        <f>PROGRESSION!Q4</f>
        <v>6.1249999999999999E-2</v>
      </c>
      <c r="E5" s="75">
        <f>COUNTA(Sheet2!C3:C29)</f>
        <v>27</v>
      </c>
      <c r="F5" s="76">
        <f>Sheet2!D30</f>
        <v>15900</v>
      </c>
    </row>
    <row r="7" spans="1:6">
      <c r="A7" s="31" t="s">
        <v>137</v>
      </c>
      <c r="B7" s="66" t="s">
        <v>138</v>
      </c>
      <c r="C7" s="31" t="s">
        <v>139</v>
      </c>
      <c r="D7" s="66" t="s">
        <v>140</v>
      </c>
    </row>
    <row r="8" spans="1:6">
      <c r="A8" s="31" t="s">
        <v>141</v>
      </c>
      <c r="B8" s="139" t="s">
        <v>165</v>
      </c>
      <c r="C8" s="139"/>
      <c r="D8" s="139"/>
      <c r="E8" s="139"/>
      <c r="F8" s="139"/>
    </row>
    <row r="9" spans="1:6">
      <c r="A9" s="31" t="s">
        <v>142</v>
      </c>
      <c r="B9" s="140"/>
      <c r="C9" s="140"/>
      <c r="D9" s="140"/>
      <c r="E9" s="140"/>
      <c r="F9" s="140"/>
    </row>
    <row r="10" spans="1:6">
      <c r="A10" s="31" t="s">
        <v>143</v>
      </c>
      <c r="B10" s="140"/>
      <c r="C10" s="140"/>
      <c r="D10" s="140"/>
      <c r="E10" s="140"/>
      <c r="F10" s="140"/>
    </row>
    <row r="12" spans="1:6">
      <c r="A12" s="30" t="s">
        <v>76</v>
      </c>
      <c r="B12" s="30" t="s">
        <v>144</v>
      </c>
      <c r="C12" s="30" t="s">
        <v>108</v>
      </c>
      <c r="D12" s="30" t="s">
        <v>145</v>
      </c>
    </row>
    <row r="13" spans="1:6">
      <c r="A13" s="50" t="str">
        <f>PROGRESSION!C$5</f>
        <v>PIPE SLEEVE</v>
      </c>
      <c r="B13" s="45">
        <f>PROGRESSION!C$46</f>
        <v>0.93125</v>
      </c>
      <c r="C13" s="50" t="str">
        <f>IF(B13&gt;=0.9,"Complete",IF(B13&gt;0,"In Progress","Not Started"))</f>
        <v>Complete</v>
      </c>
      <c r="D13" s="50"/>
    </row>
    <row r="14" spans="1:6">
      <c r="A14" s="50" t="str">
        <f>PROGRESSION!D$5</f>
        <v>PUMP</v>
      </c>
      <c r="B14" s="45">
        <f>PROGRESSION!D$46</f>
        <v>0.475</v>
      </c>
      <c r="C14" s="50" t="str">
        <f>IF(B14&gt;=0.9,"Complete",IF(B14&gt;0,"In Progress","Not Started"))</f>
        <v>In Progress</v>
      </c>
      <c r="D14" s="50"/>
    </row>
    <row r="15" spans="1:6">
      <c r="A15" s="50" t="str">
        <f>PROGRESSION!E$5</f>
        <v>PUMP CONTROL PANEL</v>
      </c>
      <c r="B15" s="45">
        <f>PROGRESSION!E$46</f>
        <v>0.475</v>
      </c>
      <c r="C15" s="50" t="str">
        <f>IF(B15&gt;=0.9,"Complete",IF(B15&gt;0,"In Progress","Not Started"))</f>
        <v>In Progress</v>
      </c>
      <c r="D15" s="50"/>
    </row>
    <row r="16" spans="1:6">
      <c r="A16" s="50" t="str">
        <f>PROGRESSION!F$5</f>
        <v>TRANSFER PUMP PIPES</v>
      </c>
      <c r="B16" s="45">
        <f>PROGRESSION!F$46</f>
        <v>0.54625</v>
      </c>
      <c r="C16" s="50" t="str">
        <f>IF(B16&gt;=0.9,"Complete",IF(B16&gt;0,"In Progress","Not Started"))</f>
        <v>In Progress</v>
      </c>
      <c r="D16" s="50"/>
    </row>
    <row r="17" spans="1:4">
      <c r="A17" s="50" t="str">
        <f>PROGRESSION!G$5</f>
        <v>L31 &amp; 31M ROOF PIPING</v>
      </c>
      <c r="B17" s="45">
        <f>PROGRESSION!G$46</f>
        <v>0</v>
      </c>
      <c r="C17" s="50" t="str">
        <f>IF(B17&gt;=0.9,"Complete",IF(B17&gt;0,"In Progress","Not Started"))</f>
        <v>Not Started</v>
      </c>
      <c r="D17" s="50"/>
    </row>
    <row r="18" spans="1:4">
      <c r="A18" s="50" t="str">
        <f>PROGRESSION!H$5</f>
        <v>CW TENANT</v>
      </c>
      <c r="B18" s="45">
        <f>PROGRESSION!H$46</f>
        <v>0.78375</v>
      </c>
      <c r="C18" s="50" t="str">
        <f>IF(B18&gt;=0.9,"Complete",IF(B18&gt;0,"In Progress","Not Started"))</f>
        <v>In Progress</v>
      </c>
      <c r="D18" s="50"/>
    </row>
    <row r="19" spans="1:4">
      <c r="A19" s="50" t="str">
        <f>PROGRESSION!I$5</f>
        <v>BACKSHAFT CW &amp; FW TOILETS</v>
      </c>
      <c r="B19" s="45">
        <f>PROGRESSION!I$46</f>
        <v>0.12125</v>
      </c>
      <c r="C19" s="50" t="str">
        <f>IF(B19&gt;=0.9,"Complete",IF(B19&gt;0,"In Progress","Not Started"))</f>
        <v>In Progress</v>
      </c>
      <c r="D19" s="50"/>
    </row>
    <row r="20" spans="1:4">
      <c r="A20" s="50" t="str">
        <f>PROGRESSION!J$5</f>
        <v>HOSEREEL FLOORTRAP &amp; STACK</v>
      </c>
      <c r="B20" s="45">
        <f>PROGRESSION!J$46</f>
        <v>0.5775</v>
      </c>
      <c r="C20" s="50" t="str">
        <f>IF(B20&gt;=0.9,"Complete",IF(B20&gt;0,"In Progress","Not Started"))</f>
        <v>In Progress</v>
      </c>
      <c r="D20" s="50"/>
    </row>
    <row r="21" spans="1:4">
      <c r="A21" s="50" t="str">
        <f>PROGRESSION!K$5</f>
        <v>SANITARY TENANT</v>
      </c>
      <c r="B21" s="45">
        <f>PROGRESSION!K$46</f>
        <v>0.5775</v>
      </c>
      <c r="C21" s="50" t="str">
        <f>IF(B21&gt;=0.9,"Complete",IF(B21&gt;0,"In Progress","Not Started"))</f>
        <v>In Progress</v>
      </c>
      <c r="D21" s="50"/>
    </row>
    <row r="22" spans="1:4">
      <c r="A22" s="50" t="str">
        <f>PROGRESSION!L$5</f>
        <v>TOILET PIPE DISTRIBUTION &amp; HACKING</v>
      </c>
      <c r="B22" s="45">
        <f>PROGRESSION!L$46</f>
        <v>0.395</v>
      </c>
      <c r="C22" s="50" t="str">
        <f>IF(B22&gt;=0.9,"Complete",IF(B22&gt;0,"In Progress","Not Started"))</f>
        <v>In Progress</v>
      </c>
      <c r="D22" s="50"/>
    </row>
    <row r="23" spans="1:4">
      <c r="A23" s="50" t="str">
        <f>PROGRESSION!M$5</f>
        <v>SANITARY TOILETS</v>
      </c>
      <c r="B23" s="45">
        <f>PROGRESSION!M$46</f>
        <v>0.65375</v>
      </c>
      <c r="C23" s="50" t="str">
        <f>IF(B23&gt;=0.9,"Complete",IF(B23&gt;0,"In Progress","Not Started"))</f>
        <v>In Progress</v>
      </c>
      <c r="D23" s="50"/>
    </row>
    <row r="24" spans="1:4">
      <c r="A24" s="50" t="str">
        <f>PROGRESSION!N$5</f>
        <v>SANITARY WARES INSTALLATION</v>
      </c>
      <c r="B24" s="45">
        <f>PROGRESSION!N$46</f>
        <v>0.1475</v>
      </c>
      <c r="C24" s="50" t="str">
        <f>IF(B24&gt;=0.9,"Complete",IF(B24&gt;0,"In Progress","Not Started"))</f>
        <v>In Progress</v>
      </c>
      <c r="D24" s="50"/>
    </row>
    <row r="25" spans="1:4">
      <c r="A25" s="50" t="str">
        <f>PROGRESSION!O$5</f>
        <v>IRRIGATION OUTLET</v>
      </c>
      <c r="B25" s="45">
        <f>PROGRESSION!O$46</f>
        <v>0.2</v>
      </c>
      <c r="C25" s="50" t="str">
        <f>IF(B25&gt;=0.9,"Complete",IF(B25&gt;0,"In Progress","Not Started"))</f>
        <v>In Progress</v>
      </c>
      <c r="D25" s="50"/>
    </row>
    <row r="26" spans="1:4">
      <c r="A26" s="50" t="str">
        <f>PROGRESSION!P$5</f>
        <v>IRRIGATION INLET</v>
      </c>
      <c r="B26" s="45">
        <f>PROGRESSION!P$46</f>
        <v>0.045</v>
      </c>
      <c r="C26" s="50" t="str">
        <f>IF(B26&gt;=0.9,"Complete",IF(B26&gt;0,"In Progress","Not Started"))</f>
        <v>In Progress</v>
      </c>
      <c r="D26" s="50"/>
    </row>
    <row r="27" spans="1:4">
      <c r="A27" s="50" t="str">
        <f>PROGRESSION!Q$5</f>
        <v>IRRIGATION WIRING</v>
      </c>
      <c r="B27" s="45">
        <f>PROGRESSION!Q$46</f>
        <v>0</v>
      </c>
      <c r="C27" s="50" t="str">
        <f>IF(B27&gt;=0.9,"Complete",IF(B27&gt;0,"In Progress","Not Started"))</f>
        <v>Not Started</v>
      </c>
      <c r="D27" s="50"/>
    </row>
    <row r="28" spans="1:4">
      <c r="A28" s="50" t="str">
        <f>PROGRESSION!R$5</f>
        <v>IRRIGATION CONTROL PANEL</v>
      </c>
      <c r="B28" s="45">
        <f>PROGRESSION!R$46</f>
        <v>0</v>
      </c>
      <c r="C28" s="50" t="str">
        <f>IF(B28&gt;=0.9,"Complete",IF(B28&gt;0,"In Progress","Not Started"))</f>
        <v>Not Started</v>
      </c>
      <c r="D28" s="50"/>
    </row>
    <row r="29" spans="1:4">
      <c r="A29" s="50"/>
      <c r="B29" s="45"/>
      <c r="C29" s="50"/>
      <c r="D29" s="50"/>
    </row>
  </sheetData>
  <mergeCells count="5">
    <mergeCell ref="A1:F1"/>
    <mergeCell ref="A2:F2"/>
    <mergeCell ref="B8:F8"/>
    <mergeCell ref="B9:F9"/>
    <mergeCell ref="B10:F10"/>
  </mergeCells>
  <conditionalFormatting sqref="C13:C29">
    <cfRule type="expression" dxfId="4" priority="1">
      <formula>$C13="In Progress"</formula>
    </cfRule>
    <cfRule type="expression" dxfId="3" priority="2">
      <formula>$C13="Not Started"</formula>
    </cfRule>
    <cfRule type="expression" dxfId="2" priority="3">
      <formula>$C13="Complete"</formula>
    </cfRule>
  </conditionalFormatting>
  <pageMargins left="0.7" right="0.7" top="0.75" bottom="0.75" header="0.3" footer="0.3"/>
  <pageSetup paperSize="9" orientation="portrait" horizontalDpi="4294967293" verticalDpi="0" ns3:id="rId1"/>
  <drawing ns3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DDC4-C368-4B82-A9F8-454BBA426F97}">
  <dimension ref="A1:M18"/>
  <sheetViews>
    <sheetView zoomScale="70" zoomScaleNormal="70" workbookViewId="0">
      <selection activeCell="Y12" sqref="Y12"/>
    </sheetView>
  </sheetViews>
  <sheetFormatPr defaultRowHeight="14.4"/>
  <cols>
    <col min="1" max="1" width="25.88671875" customWidth="1"/>
    <col min="2" max="2" width="14.77734375" customWidth="1"/>
    <col min="3" max="3" width="37" customWidth="1"/>
    <col min="4" max="4" width="20.33203125" customWidth="1"/>
    <col min="5" max="6" width="11.109375" customWidth="1"/>
    <col min="7" max="7" width="16.6640625" customWidth="1"/>
    <col min="8" max="8" width="14.77734375" customWidth="1"/>
    <col min="9" max="9" width="16.6640625" customWidth="1"/>
    <col min="10" max="10" width="22.21875" customWidth="1"/>
    <col min="12" max="12" width="20.33203125" customWidth="1"/>
    <col min="13" max="13" width="11.109375" customWidth="1"/>
  </cols>
  <sheetData>
    <row r="1" spans="1:13" ht="20.399999999999999">
      <c r="A1" s="136" t="s">
        <v>146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3">
      <c r="A2" s="138" t="str">
        <f>PROGRESSION!A3</f>
        <v>Report Date: 12 SEPTEMBER 2026</v>
      </c>
      <c r="B2" s="138"/>
      <c r="C2" s="138"/>
      <c r="D2" s="138"/>
      <c r="E2" s="138"/>
      <c r="F2" s="138"/>
      <c r="G2" s="138"/>
      <c r="H2" s="138"/>
      <c r="I2" s="138"/>
      <c r="J2" s="138"/>
    </row>
    <row r="4" spans="1:13">
      <c r="A4" s="30" t="s">
        <v>147</v>
      </c>
      <c r="B4" s="30" t="s">
        <v>148</v>
      </c>
      <c r="C4" s="30" t="s">
        <v>100</v>
      </c>
      <c r="D4" s="30" t="s">
        <v>149</v>
      </c>
      <c r="E4" s="30" t="s">
        <v>150</v>
      </c>
      <c r="F4" s="30" t="s">
        <v>101</v>
      </c>
      <c r="G4" s="30" t="s">
        <v>151</v>
      </c>
      <c r="H4" s="30" t="s">
        <v>108</v>
      </c>
      <c r="I4" s="30" t="s">
        <v>152</v>
      </c>
      <c r="J4" s="30" t="s">
        <v>109</v>
      </c>
      <c r="L4" s="30" t="s">
        <v>153</v>
      </c>
      <c r="M4" s="30" t="s">
        <v>154</v>
      </c>
    </row>
    <row r="5" spans="1:13">
      <c r="A5" s="77"/>
      <c r="B5" s="66"/>
      <c r="C5" s="66"/>
      <c r="D5" s="66"/>
      <c r="E5" s="63"/>
      <c r="F5" s="49" t="str">
        <f>IF(C5="","",_xlfn.XLOOKUP(C5,ORDER!B$5:B$23,ORDER!C$5:C$23))</f>
        <v/>
      </c>
      <c r="G5" s="78"/>
      <c r="H5" s="66"/>
      <c r="I5" s="77"/>
      <c r="J5" s="66"/>
      <c r="L5" s="29" t="s">
        <v>155</v>
      </c>
      <c r="M5" s="80">
        <f>COUNTIF(ORDER!J5:J23,"To Order")</f>
        <v>19</v>
      </c>
    </row>
    <row r="6" spans="1:13">
      <c r="A6" s="77"/>
      <c r="B6" s="66"/>
      <c r="C6" s="66"/>
      <c r="D6" s="66"/>
      <c r="E6" s="63"/>
      <c r="F6" s="49" t="str">
        <f>IF(C6="","",_xlfn.XLOOKUP(C6,ORDER!B$5:B$23,ORDER!C$5:C$23))</f>
        <v/>
      </c>
      <c r="G6" s="78"/>
      <c r="H6" s="66"/>
      <c r="I6" s="77"/>
      <c r="J6" s="66"/>
      <c r="L6" s="29" t="s">
        <v>156</v>
      </c>
      <c r="M6" s="80">
        <f>COUNTIF(ORDER!J5:J23,"Partial")</f>
        <v>0</v>
      </c>
    </row>
    <row r="7" spans="1:13">
      <c r="A7" s="77"/>
      <c r="B7" s="66"/>
      <c r="C7" s="66"/>
      <c r="D7" s="66"/>
      <c r="E7" s="63"/>
      <c r="F7" s="49" t="str">
        <f>IF(C7="","",_xlfn.XLOOKUP(C7,ORDER!B$5:B$23,ORDER!C$5:C$23))</f>
        <v/>
      </c>
      <c r="G7" s="78"/>
      <c r="H7" s="66"/>
      <c r="I7" s="77"/>
      <c r="J7" s="66"/>
      <c r="L7" s="29" t="s">
        <v>157</v>
      </c>
      <c r="M7" s="80">
        <f>COUNTIF(ORDER!J5:J23,"Complete")</f>
        <v>0</v>
      </c>
    </row>
    <row r="8" spans="1:13">
      <c r="A8" s="77"/>
      <c r="B8" s="66"/>
      <c r="C8" s="66"/>
      <c r="D8" s="66"/>
      <c r="E8" s="63"/>
      <c r="F8" s="49" t="str">
        <f>IF(C8="","",_xlfn.XLOOKUP(C8,ORDER!B$5:B$23,ORDER!C$5:C$23))</f>
        <v/>
      </c>
      <c r="G8" s="78"/>
      <c r="H8" s="66"/>
      <c r="I8" s="77"/>
      <c r="J8" s="66"/>
    </row>
    <row r="9" spans="1:13">
      <c r="A9" s="77"/>
      <c r="B9" s="66"/>
      <c r="C9" s="66"/>
      <c r="D9" s="66"/>
      <c r="E9" s="63"/>
      <c r="F9" s="49" t="str">
        <f>IF(C9="","",_xlfn.XLOOKUP(C9,ORDER!B$5:B$23,ORDER!C$5:C$23))</f>
        <v/>
      </c>
      <c r="G9" s="78"/>
      <c r="H9" s="66"/>
      <c r="I9" s="77"/>
      <c r="J9" s="66"/>
    </row>
    <row r="10" spans="1:13">
      <c r="A10" s="77"/>
      <c r="B10" s="66"/>
      <c r="C10" s="66"/>
      <c r="D10" s="66"/>
      <c r="E10" s="63"/>
      <c r="F10" s="49" t="str">
        <f>IF(C10="","",_xlfn.XLOOKUP(C10,ORDER!B$5:B$23,ORDER!C$5:C$23))</f>
        <v/>
      </c>
      <c r="G10" s="78"/>
      <c r="H10" s="66"/>
      <c r="I10" s="77"/>
      <c r="J10" s="66"/>
    </row>
    <row r="11" spans="1:13">
      <c r="A11" s="77"/>
      <c r="B11" s="66"/>
      <c r="C11" s="66"/>
      <c r="D11" s="66"/>
      <c r="E11" s="63"/>
      <c r="F11" s="49" t="str">
        <f>IF(C11="","",_xlfn.XLOOKUP(C11,ORDER!B$5:B$23,ORDER!C$5:C$23))</f>
        <v/>
      </c>
      <c r="G11" s="78"/>
      <c r="H11" s="66"/>
      <c r="I11" s="77"/>
      <c r="J11" s="66"/>
    </row>
    <row r="12" spans="1:13">
      <c r="A12" s="77"/>
      <c r="B12" s="66"/>
      <c r="C12" s="66"/>
      <c r="D12" s="66"/>
      <c r="E12" s="63"/>
      <c r="F12" s="49" t="str">
        <f>IF(C12="","",_xlfn.XLOOKUP(C12,ORDER!B$5:B$23,ORDER!C$5:C$23))</f>
        <v/>
      </c>
      <c r="G12" s="78"/>
      <c r="H12" s="66"/>
      <c r="I12" s="77"/>
      <c r="J12" s="66"/>
    </row>
    <row r="13" spans="1:13">
      <c r="A13" s="77"/>
      <c r="B13" s="66"/>
      <c r="C13" s="66"/>
      <c r="D13" s="66"/>
      <c r="E13" s="63"/>
      <c r="F13" s="49" t="str">
        <f>IF(C13="","",_xlfn.XLOOKUP(C13,ORDER!B$5:B$23,ORDER!C$5:C$23))</f>
        <v/>
      </c>
      <c r="G13" s="78"/>
      <c r="H13" s="66"/>
      <c r="I13" s="77"/>
      <c r="J13" s="66"/>
    </row>
    <row r="14" spans="1:13">
      <c r="A14" s="77"/>
      <c r="B14" s="66"/>
      <c r="C14" s="66"/>
      <c r="D14" s="66"/>
      <c r="E14" s="63"/>
      <c r="F14" s="49" t="str">
        <f>IF(C14="","",_xlfn.XLOOKUP(C14,ORDER!B$5:B$23,ORDER!C$5:C$23))</f>
        <v/>
      </c>
      <c r="G14" s="78"/>
      <c r="H14" s="66"/>
      <c r="I14" s="77"/>
      <c r="J14" s="66"/>
    </row>
    <row r="15" spans="1:13">
      <c r="A15" s="77"/>
      <c r="B15" s="66"/>
      <c r="C15" s="66"/>
      <c r="D15" s="66"/>
      <c r="E15" s="63"/>
      <c r="F15" s="49" t="str">
        <f>IF(C15="","",_xlfn.XLOOKUP(C15,ORDER!B$5:B$23,ORDER!C$5:C$23))</f>
        <v/>
      </c>
      <c r="G15" s="78"/>
      <c r="H15" s="66"/>
      <c r="I15" s="77"/>
      <c r="J15" s="66"/>
    </row>
    <row r="16" spans="1:13">
      <c r="A16" s="77"/>
      <c r="B16" s="66"/>
      <c r="C16" s="66"/>
      <c r="D16" s="66"/>
      <c r="E16" s="63"/>
      <c r="F16" s="49" t="str">
        <f>IF(C16="","",_xlfn.XLOOKUP(C16,ORDER!B$5:B$23,ORDER!C$5:C$23))</f>
        <v/>
      </c>
      <c r="G16" s="78"/>
      <c r="H16" s="66"/>
      <c r="I16" s="77"/>
      <c r="J16" s="66"/>
    </row>
    <row r="17" spans="1:8" ht="15" thickBot="1">
      <c r="A17" s="68" t="s">
        <v>69</v>
      </c>
      <c r="E17" s="70">
        <f>SUM(E5:E16)</f>
        <v>0</v>
      </c>
      <c r="G17" s="79">
        <f>SUM(G5:G16)</f>
        <v>0</v>
      </c>
      <c r="H17" s="68" t="str">
        <f>COUNTA(H5:H16)&amp;" POs"</f>
        <v>0 POs</v>
      </c>
    </row>
    <row r="18" spans="1:8" ht="15" thickTop="1"/>
  </sheetData>
  <mergeCells count="2">
    <mergeCell ref="A1:J1"/>
    <mergeCell ref="A2:J2"/>
  </mergeCells>
  <conditionalFormatting sqref="H5:H16">
    <cfRule type="expression" dxfId="1" priority="1">
      <formula>$H5="Issued"</formula>
    </cfRule>
    <cfRule type="expression" dxfId="0" priority="2">
      <formula>$H5="Delivered"</formula>
    </cfRule>
  </conditionalFormatting>
  <dataValidations count="1">
    <dataValidation type="list" allowBlank="1" showInputMessage="1" showErrorMessage="1" sqref="H5:H16" xr:uid="{01390845-5C9F-4F64-A09D-5621704C94A2}">
      <formula1>"Draft,Issued,Partial,Delivered"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210127-3912-4EE8-BB3C-EEBEB744B909}">
          <x14:formula1>
            <xm:f>ORDER!$B$5:$B$23</xm:f>
          </x14:formula1>
          <xm:sqref>C5:C16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90B3-BFCF-4194-91B5-690C4D494033}">
  <dimension ref="A1:H36"/>
  <sheetViews>
    <sheetView topLeftCell="A4" zoomScale="85" zoomScaleNormal="85" workbookViewId="0">
      <selection activeCell="R30" sqref="R30"/>
    </sheetView>
  </sheetViews>
  <sheetFormatPr defaultRowHeight="14.4"/>
  <cols>
    <col min="1" max="1" width="25.88671875" customWidth="1"/>
    <col min="2" max="2" width="14.77734375" customWidth="1"/>
    <col min="3" max="3" width="13" customWidth="1"/>
    <col min="4" max="4" width="16.6640625" customWidth="1"/>
    <col min="6" max="6" width="20.33203125" customWidth="1"/>
    <col min="7" max="7" width="14.77734375" customWidth="1"/>
    <col min="8" max="8" width="16.6640625" customWidth="1"/>
  </cols>
  <sheetData>
    <row r="1" spans="1:8" ht="20.399999999999999">
      <c r="A1" s="136" t="s">
        <v>158</v>
      </c>
      <c r="B1" s="136"/>
      <c r="C1" s="136"/>
      <c r="D1" s="136"/>
    </row>
    <row r="2" spans="1:8">
      <c r="A2" s="138" t="str">
        <f>PROGRESSION!A3</f>
        <v>Report Date: 12 SEPTEMBER 2026</v>
      </c>
      <c r="B2" s="138"/>
      <c r="C2" s="138"/>
      <c r="D2" s="138"/>
    </row>
    <row r="4" spans="1:8">
      <c r="A4" s="30" t="s">
        <v>159</v>
      </c>
      <c r="B4" s="30" t="s">
        <v>136</v>
      </c>
      <c r="C4" s="30" t="s">
        <v>134</v>
      </c>
      <c r="D4" s="30" t="s">
        <v>160</v>
      </c>
      <c r="F4" s="30" t="s">
        <v>99</v>
      </c>
      <c r="G4" s="30" t="s">
        <v>144</v>
      </c>
      <c r="H4" s="30" t="s">
        <v>164</v>
      </c>
    </row>
    <row r="5" spans="1:8" ht="18">
      <c r="A5" s="81">
        <f>SUM(C8:C34)</f>
        <v>27</v>
      </c>
      <c r="B5" s="82">
        <f>SUM(D8:D34)</f>
        <v>15900</v>
      </c>
      <c r="C5" s="71">
        <f>('SITE REPORT'!A5)</f>
        <v>0.33585714285714269</v>
      </c>
      <c r="D5" s="82">
        <f>IF(C5=0,"",B5/(C5*100))</f>
        <v>473.41556784347114</v>
      </c>
      <c r="F5" s="44" t="s">
        <v>77</v>
      </c>
      <c r="G5" s="45">
        <f>PROGRESSION!G4</f>
        <v>0.47607142857142842</v>
      </c>
      <c r="H5" s="86">
        <f>1-G5</f>
        <v>0.52392857142857152</v>
      </c>
    </row>
    <row r="6" spans="1:8">
      <c r="F6" s="46" t="s">
        <v>85</v>
      </c>
      <c r="G6" s="45">
        <f>PROGRESSION!L4</f>
        <v>0.47024999999999978</v>
      </c>
      <c r="H6" s="86">
        <f>1-G6</f>
        <v>0.52975000000000017</v>
      </c>
    </row>
    <row r="7" spans="1:8">
      <c r="A7" s="30" t="s">
        <v>161</v>
      </c>
      <c r="B7" s="30" t="s">
        <v>162</v>
      </c>
      <c r="C7" s="30" t="s">
        <v>159</v>
      </c>
      <c r="D7" s="30" t="s">
        <v>163</v>
      </c>
      <c r="F7" s="87" t="s">
        <v>91</v>
      </c>
      <c r="G7" s="45">
        <f>PROGRESSION!Q4</f>
        <v>6.1249999999999999E-2</v>
      </c>
      <c r="H7" s="86">
        <f>1-G7</f>
        <v>0.93874999999999997</v>
      </c>
    </row>
    <row r="8" spans="1:8">
      <c r="A8" s="50" t="str">
        <f>Sheet2!C3</f>
        <v>SUPAHAM</v>
      </c>
      <c r="B8" s="83">
        <f>Sheet2!D3</f>
        <v>2000</v>
      </c>
      <c r="C8" s="84">
        <v>1</v>
      </c>
      <c r="D8" s="85">
        <f>IF(ISNUMBER(B8),B8*C8,0)</f>
        <v>2000</v>
      </c>
    </row>
    <row r="9" spans="1:8">
      <c r="A9" s="50" t="str">
        <f>Sheet2!C4</f>
        <v>SOLIHIN</v>
      </c>
      <c r="B9" s="83">
        <f>Sheet2!D4</f>
        <v>1000</v>
      </c>
      <c r="C9" s="84">
        <v>1</v>
      </c>
      <c r="D9" s="85">
        <f t="shared" ref="D9:D34" si="0">IF(ISNUMBER(B9),B9*C9,0)</f>
        <v>1000</v>
      </c>
    </row>
    <row r="10" spans="1:8">
      <c r="A10" s="50" t="str">
        <f>Sheet2!C5</f>
        <v>ASGAR</v>
      </c>
      <c r="B10" s="83">
        <f>Sheet2!D5</f>
        <v>500</v>
      </c>
      <c r="C10" s="84">
        <v>1</v>
      </c>
      <c r="D10" s="85">
        <f t="shared" si="0"/>
        <v>500</v>
      </c>
    </row>
    <row r="11" spans="1:8">
      <c r="A11" s="50" t="str">
        <f>Sheet2!C6</f>
        <v>SUHAIRI</v>
      </c>
      <c r="B11" s="83">
        <f>Sheet2!D6</f>
        <v>700</v>
      </c>
      <c r="C11" s="84">
        <v>1</v>
      </c>
      <c r="D11" s="85">
        <f t="shared" si="0"/>
        <v>700</v>
      </c>
    </row>
    <row r="12" spans="1:8">
      <c r="A12" s="50" t="str">
        <f>Sheet2!C7</f>
        <v>BILAL</v>
      </c>
      <c r="B12" s="83">
        <f>Sheet2!D7</f>
        <v>500</v>
      </c>
      <c r="C12" s="84">
        <v>1</v>
      </c>
      <c r="D12" s="85">
        <f t="shared" si="0"/>
        <v>500</v>
      </c>
    </row>
    <row r="13" spans="1:8">
      <c r="A13" s="50" t="str">
        <f>Sheet2!C8</f>
        <v>JUWEL</v>
      </c>
      <c r="B13" s="83">
        <f>Sheet2!D8</f>
        <v>500</v>
      </c>
      <c r="C13" s="84">
        <v>1</v>
      </c>
      <c r="D13" s="85">
        <f t="shared" si="0"/>
        <v>500</v>
      </c>
    </row>
    <row r="14" spans="1:8">
      <c r="A14" s="50" t="str">
        <f>Sheet2!C9</f>
        <v>JILLUR</v>
      </c>
      <c r="B14" s="83">
        <f>Sheet2!D9</f>
        <v>500</v>
      </c>
      <c r="C14" s="84">
        <v>1</v>
      </c>
      <c r="D14" s="85">
        <f t="shared" si="0"/>
        <v>500</v>
      </c>
    </row>
    <row r="15" spans="1:8">
      <c r="A15" s="50" t="str">
        <f>Sheet2!C10</f>
        <v>SARIP</v>
      </c>
      <c r="B15" s="83">
        <f>Sheet2!D10</f>
        <v>700</v>
      </c>
      <c r="C15" s="84">
        <v>1</v>
      </c>
      <c r="D15" s="85">
        <f t="shared" si="0"/>
        <v>700</v>
      </c>
    </row>
    <row r="16" spans="1:8">
      <c r="A16" s="50" t="str">
        <f>Sheet2!C11</f>
        <v>EMON</v>
      </c>
      <c r="B16" s="83">
        <f>Sheet2!D11</f>
        <v>500</v>
      </c>
      <c r="C16" s="84">
        <v>1</v>
      </c>
      <c r="D16" s="85">
        <f t="shared" si="0"/>
        <v>500</v>
      </c>
    </row>
    <row r="17" spans="1:4">
      <c r="A17" s="50" t="str">
        <f>Sheet2!C12</f>
        <v>IBNU</v>
      </c>
      <c r="B17" s="83">
        <f>Sheet2!D12</f>
        <v>500</v>
      </c>
      <c r="C17" s="84">
        <v>1</v>
      </c>
      <c r="D17" s="85">
        <f t="shared" si="0"/>
        <v>500</v>
      </c>
    </row>
    <row r="18" spans="1:4">
      <c r="A18" s="50" t="str">
        <f>Sheet2!C13</f>
        <v>KAMAL</v>
      </c>
      <c r="B18" s="83">
        <f>Sheet2!D13</f>
        <v>500</v>
      </c>
      <c r="C18" s="84">
        <v>1</v>
      </c>
      <c r="D18" s="85">
        <f t="shared" si="0"/>
        <v>500</v>
      </c>
    </row>
    <row r="19" spans="1:4">
      <c r="A19" s="50" t="str">
        <f>Sheet2!C14</f>
        <v>YASIN</v>
      </c>
      <c r="B19" s="83">
        <f>Sheet2!D14</f>
        <v>500</v>
      </c>
      <c r="C19" s="84">
        <v>1</v>
      </c>
      <c r="D19" s="85">
        <f t="shared" si="0"/>
        <v>500</v>
      </c>
    </row>
    <row r="20" spans="1:4">
      <c r="A20" s="50" t="str">
        <f>Sheet2!C15</f>
        <v>SOFIKUL</v>
      </c>
      <c r="B20" s="83">
        <f>Sheet2!D15</f>
        <v>1000</v>
      </c>
      <c r="C20" s="84">
        <v>1</v>
      </c>
      <c r="D20" s="85">
        <f t="shared" si="0"/>
        <v>1000</v>
      </c>
    </row>
    <row r="21" spans="1:4">
      <c r="A21" s="50" t="str">
        <f>Sheet2!C16</f>
        <v>NAZMUL</v>
      </c>
      <c r="B21" s="83">
        <f>Sheet2!D16</f>
        <v>500</v>
      </c>
      <c r="C21" s="84">
        <v>1</v>
      </c>
      <c r="D21" s="85">
        <f t="shared" si="0"/>
        <v>500</v>
      </c>
    </row>
    <row r="22" spans="1:4">
      <c r="A22" s="50" t="str">
        <f>Sheet2!C17</f>
        <v>MAHMUD</v>
      </c>
      <c r="B22" s="83">
        <f>Sheet2!D17</f>
        <v>500</v>
      </c>
      <c r="C22" s="84">
        <v>1</v>
      </c>
      <c r="D22" s="85">
        <f t="shared" si="0"/>
        <v>500</v>
      </c>
    </row>
    <row r="23" spans="1:4">
      <c r="A23" s="50" t="str">
        <f>Sheet2!C18</f>
        <v>NURUL</v>
      </c>
      <c r="B23" s="83">
        <f>Sheet2!D18</f>
        <v>500</v>
      </c>
      <c r="C23" s="84">
        <v>1</v>
      </c>
      <c r="D23" s="85">
        <f t="shared" si="0"/>
        <v>500</v>
      </c>
    </row>
    <row r="24" spans="1:4">
      <c r="A24" s="50" t="str">
        <f>Sheet2!C19</f>
        <v>JIARUL</v>
      </c>
      <c r="B24" s="83" t="str">
        <f>Sheet2!D19</f>
        <v>n/a</v>
      </c>
      <c r="C24" s="84">
        <v>1</v>
      </c>
      <c r="D24" s="85">
        <f t="shared" si="0"/>
        <v>0</v>
      </c>
    </row>
    <row r="25" spans="1:4">
      <c r="A25" s="50" t="str">
        <f>Sheet2!C20</f>
        <v>SUPENDI</v>
      </c>
      <c r="B25" s="83">
        <f>Sheet2!D20</f>
        <v>500</v>
      </c>
      <c r="C25" s="84">
        <v>1</v>
      </c>
      <c r="D25" s="85">
        <f t="shared" si="0"/>
        <v>500</v>
      </c>
    </row>
    <row r="26" spans="1:4">
      <c r="A26" s="50" t="str">
        <f>Sheet2!C21</f>
        <v>RANA</v>
      </c>
      <c r="B26" s="83">
        <f>Sheet2!D21</f>
        <v>500</v>
      </c>
      <c r="C26" s="84">
        <v>1</v>
      </c>
      <c r="D26" s="85">
        <f t="shared" si="0"/>
        <v>500</v>
      </c>
    </row>
    <row r="27" spans="1:4">
      <c r="A27" s="50" t="str">
        <f>Sheet2!C22</f>
        <v>ASHRAFUL</v>
      </c>
      <c r="B27" s="83">
        <f>Sheet2!D22</f>
        <v>500</v>
      </c>
      <c r="C27" s="84">
        <v>1</v>
      </c>
      <c r="D27" s="85">
        <f t="shared" si="0"/>
        <v>500</v>
      </c>
    </row>
    <row r="28" spans="1:4">
      <c r="A28" s="50" t="str">
        <f>Sheet2!C23</f>
        <v>FARHAD</v>
      </c>
      <c r="B28" s="83">
        <f>Sheet2!D23</f>
        <v>500</v>
      </c>
      <c r="C28" s="84">
        <v>1</v>
      </c>
      <c r="D28" s="85">
        <f t="shared" si="0"/>
        <v>500</v>
      </c>
    </row>
    <row r="29" spans="1:4">
      <c r="A29" s="50" t="str">
        <f>Sheet2!C24</f>
        <v>BADOL</v>
      </c>
      <c r="B29" s="83">
        <f>Sheet2!D24</f>
        <v>500</v>
      </c>
      <c r="C29" s="84">
        <v>1</v>
      </c>
      <c r="D29" s="85">
        <f t="shared" si="0"/>
        <v>500</v>
      </c>
    </row>
    <row r="30" spans="1:4">
      <c r="A30" s="50" t="str">
        <f>Sheet2!C25</f>
        <v>ISLAM</v>
      </c>
      <c r="B30" s="83">
        <f>Sheet2!D25</f>
        <v>500</v>
      </c>
      <c r="C30" s="84">
        <v>1</v>
      </c>
      <c r="D30" s="85">
        <f t="shared" si="0"/>
        <v>500</v>
      </c>
    </row>
    <row r="31" spans="1:4">
      <c r="A31" s="50" t="str">
        <f>Sheet2!C26</f>
        <v>SYAHIB</v>
      </c>
      <c r="B31" s="83">
        <f>Sheet2!D26</f>
        <v>500</v>
      </c>
      <c r="C31" s="84">
        <v>1</v>
      </c>
      <c r="D31" s="85">
        <f t="shared" si="0"/>
        <v>500</v>
      </c>
    </row>
    <row r="32" spans="1:4">
      <c r="A32" s="50" t="str">
        <f>Sheet2!C27</f>
        <v>AMIRUL</v>
      </c>
      <c r="B32" s="83">
        <f>Sheet2!D27</f>
        <v>500</v>
      </c>
      <c r="C32" s="84">
        <v>1</v>
      </c>
      <c r="D32" s="85">
        <f t="shared" si="0"/>
        <v>500</v>
      </c>
    </row>
    <row r="33" spans="1:4">
      <c r="A33" s="50" t="str">
        <f>Sheet2!C28</f>
        <v>DAMIL</v>
      </c>
      <c r="B33" s="83">
        <f>Sheet2!D28</f>
        <v>500</v>
      </c>
      <c r="C33" s="84">
        <v>1</v>
      </c>
      <c r="D33" s="85">
        <f t="shared" si="0"/>
        <v>500</v>
      </c>
    </row>
    <row r="34" spans="1:4">
      <c r="A34" s="50" t="str">
        <f>Sheet2!C29</f>
        <v>KAMAL</v>
      </c>
      <c r="B34" s="83">
        <f>Sheet2!D29</f>
        <v>500</v>
      </c>
      <c r="C34" s="84">
        <v>1</v>
      </c>
      <c r="D34" s="85">
        <f t="shared" si="0"/>
        <v>500</v>
      </c>
    </row>
    <row r="35" spans="1:4" ht="15" thickBot="1">
      <c r="A35" s="68" t="s">
        <v>69</v>
      </c>
      <c r="B35" s="69"/>
      <c r="C35" s="88">
        <f>SUM(C8:C34)</f>
        <v>27</v>
      </c>
      <c r="D35" s="79">
        <f>SUM(D8:D34)</f>
        <v>15900</v>
      </c>
    </row>
    <row r="36" spans="1:4" ht="15" thickTop="1"/>
  </sheetData>
  <mergeCells count="2">
    <mergeCell ref="A1:D1"/>
    <mergeCell ref="A2:D2"/>
  </mergeCells>
  <dataValidations count="1">
    <dataValidation type="list" allowBlank="1" showInputMessage="1" showErrorMessage="1" sqref="C8:C34" xr:uid="{279365D2-7D53-4DD4-96D2-A4609970F7D5}">
      <formula1>"0,1"</formula1>
    </dataValidation>
  </dataValidations>
  <pageMargins left="0.7" right="0.7" top="0.75" bottom="0.75" header="0.3" footer="0.3"/>
  <pageSetup paperSize="9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3007-FDCD-4FA4-AD95-3441B29BF5DD}">
  <sheetPr>
    <pageSetUpPr fitToPage="1"/>
  </sheetPr>
  <dimension ref="A1:AF28"/>
  <sheetViews>
    <sheetView view="pageBreakPreview" zoomScale="70" zoomScaleNormal="100" zoomScaleSheetLayoutView="70" workbookViewId="0">
      <selection activeCell="AI21" sqref="AI21"/>
    </sheetView>
  </sheetViews>
  <sheetFormatPr defaultRowHeight="14.4"/>
  <cols>
    <col min="1" max="1" width="16.6640625" style="89" customWidth="1"/>
    <col min="2" max="10" width="3.77734375" bestFit="1" customWidth="1"/>
    <col min="11" max="31" width="5.109375" bestFit="1" customWidth="1"/>
    <col min="32" max="32" width="5.109375" customWidth="1"/>
  </cols>
  <sheetData>
    <row r="1" spans="1:32" ht="22.05" customHeight="1">
      <c r="A1" s="91"/>
      <c r="B1" s="92">
        <v>1</v>
      </c>
      <c r="C1" s="92">
        <v>2</v>
      </c>
      <c r="D1" s="92">
        <v>3</v>
      </c>
      <c r="E1" s="92">
        <v>4</v>
      </c>
      <c r="F1" s="92">
        <v>5</v>
      </c>
      <c r="G1" s="92">
        <v>6</v>
      </c>
      <c r="H1" s="92">
        <v>7</v>
      </c>
      <c r="I1" s="92">
        <v>8</v>
      </c>
      <c r="J1" s="92">
        <v>9</v>
      </c>
      <c r="K1" s="92">
        <v>10</v>
      </c>
      <c r="L1" s="92">
        <v>11</v>
      </c>
      <c r="M1" s="92">
        <v>12</v>
      </c>
      <c r="N1" s="92">
        <v>13</v>
      </c>
      <c r="O1" s="92">
        <v>14</v>
      </c>
      <c r="P1" s="92">
        <v>15</v>
      </c>
      <c r="Q1" s="92">
        <v>16</v>
      </c>
      <c r="R1" s="92">
        <v>17</v>
      </c>
      <c r="S1" s="92">
        <v>18</v>
      </c>
      <c r="T1" s="92">
        <v>19</v>
      </c>
      <c r="U1" s="92">
        <v>20</v>
      </c>
      <c r="V1" s="92">
        <v>21</v>
      </c>
      <c r="W1" s="92">
        <v>22</v>
      </c>
      <c r="X1" s="92">
        <v>23</v>
      </c>
      <c r="Y1" s="92">
        <v>24</v>
      </c>
      <c r="Z1" s="92">
        <v>25</v>
      </c>
      <c r="AA1" s="92">
        <v>26</v>
      </c>
      <c r="AB1" s="92">
        <v>27</v>
      </c>
      <c r="AC1" s="92">
        <v>28</v>
      </c>
      <c r="AD1" s="92">
        <v>29</v>
      </c>
      <c r="AE1" s="92">
        <v>30</v>
      </c>
      <c r="AF1" s="93">
        <v>31</v>
      </c>
    </row>
    <row r="2" spans="1:32" ht="18" customHeight="1">
      <c r="A2" s="94" t="s">
        <v>27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5"/>
    </row>
    <row r="3" spans="1:32" ht="18" customHeight="1">
      <c r="A3" s="94" t="s">
        <v>31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5"/>
    </row>
    <row r="4" spans="1:32" ht="18" customHeight="1">
      <c r="A4" s="94" t="s">
        <v>36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5"/>
    </row>
    <row r="5" spans="1:32" ht="18" customHeight="1">
      <c r="A5" s="94" t="s">
        <v>39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5"/>
    </row>
    <row r="6" spans="1:32" ht="18" customHeight="1">
      <c r="A6" s="94" t="s">
        <v>42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5"/>
    </row>
    <row r="7" spans="1:32" ht="18" customHeight="1">
      <c r="A7" s="94" t="s">
        <v>50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5"/>
    </row>
    <row r="8" spans="1:32" ht="18" customHeight="1">
      <c r="A8" s="94" t="s">
        <v>53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5"/>
    </row>
    <row r="9" spans="1:32" ht="18" customHeight="1">
      <c r="A9" s="94" t="s">
        <v>56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5"/>
    </row>
    <row r="10" spans="1:32" ht="18" customHeight="1">
      <c r="A10" s="94" t="s">
        <v>58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5"/>
    </row>
    <row r="11" spans="1:32" ht="18" customHeight="1">
      <c r="A11" s="94" t="s">
        <v>61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5"/>
    </row>
    <row r="12" spans="1:32" ht="18" customHeight="1">
      <c r="A12" s="94" t="s">
        <v>64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5"/>
    </row>
    <row r="13" spans="1:32" ht="18" customHeight="1">
      <c r="A13" s="94" t="s">
        <v>34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5"/>
    </row>
    <row r="14" spans="1:32" ht="18" customHeight="1">
      <c r="A14" s="94" t="s">
        <v>44</v>
      </c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5"/>
    </row>
    <row r="15" spans="1:32" ht="18" customHeight="1">
      <c r="A15" s="94" t="s">
        <v>48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5"/>
    </row>
    <row r="16" spans="1:32" ht="18" customHeight="1">
      <c r="A16" s="94" t="s">
        <v>59</v>
      </c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5"/>
    </row>
    <row r="17" spans="1:32" ht="18" customHeight="1">
      <c r="A17" s="94" t="s">
        <v>47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5"/>
    </row>
    <row r="18" spans="1:32" ht="18" customHeight="1">
      <c r="A18" s="94" t="s">
        <v>33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5"/>
    </row>
    <row r="19" spans="1:32" ht="18" customHeight="1">
      <c r="A19" s="94" t="s">
        <v>40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5"/>
    </row>
    <row r="20" spans="1:32" ht="18" customHeight="1">
      <c r="A20" s="94" t="s">
        <v>37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5"/>
    </row>
    <row r="21" spans="1:32" ht="18" customHeight="1">
      <c r="A21" s="94" t="s">
        <v>32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5"/>
    </row>
    <row r="22" spans="1:32" ht="18" customHeight="1">
      <c r="A22" s="94" t="s">
        <v>43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5"/>
    </row>
    <row r="23" spans="1:32" ht="18" customHeight="1">
      <c r="A23" s="94" t="s">
        <v>51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5"/>
    </row>
    <row r="24" spans="1:32" ht="18" customHeight="1">
      <c r="A24" s="94" t="s">
        <v>54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5"/>
    </row>
    <row r="25" spans="1:32" ht="18" customHeight="1">
      <c r="A25" s="94" t="s">
        <v>45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5"/>
    </row>
    <row r="26" spans="1:32" ht="18" customHeight="1">
      <c r="A26" s="94" t="s">
        <v>46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5"/>
    </row>
    <row r="27" spans="1:32" ht="18" customHeight="1">
      <c r="A27" s="94" t="s">
        <v>62</v>
      </c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5"/>
    </row>
    <row r="28" spans="1:32" ht="18" customHeight="1" thickBot="1">
      <c r="A28" s="96" t="s">
        <v>64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8"/>
    </row>
  </sheetData>
  <printOptions horizontalCentered="1" verticalCentered="1"/>
  <pageMargins left="0.3888888888888889" right="0.3888888888888889" top="0.5" bottom="0.3888888888888889" header="0.3" footer="0.3"/>
  <pageSetup paperSize="9" scale="85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A84C-80DB-4706-B9E7-2B0C62467EAD}">
  <dimension ref="A1:I59"/>
  <sheetViews>
    <sheetView zoomScale="67" workbookViewId="0">
      <selection sqref="A1:XFD1048576"/>
    </sheetView>
  </sheetViews>
  <sheetFormatPr defaultColWidth="8.6640625" defaultRowHeight="14.4"/>
  <cols>
    <col min="1" max="1" width="16.6640625" style="143" customWidth="1"/>
    <col min="2" max="2" width="66.6640625" style="143" customWidth="1"/>
    <col min="3" max="4" width="16.6640625" style="143" customWidth="1"/>
    <col min="5" max="5" width="17.5546875" style="143" customWidth="1"/>
    <col min="6" max="6" width="20.33203125" style="143" customWidth="1"/>
    <col min="7" max="8" width="17.5546875" style="143" customWidth="1"/>
    <col min="9" max="9" width="14.77734375" style="143" customWidth="1"/>
    <col min="10" max="16384" width="8.6640625" style="143"/>
  </cols>
  <sheetData>
    <row r="1" spans="1:9" ht="15" customHeight="1">
      <c r="A1" s="142" t="s">
        <v>167</v>
      </c>
    </row>
    <row r="2" spans="1:9" ht="15" customHeight="1">
      <c r="A2" s="144" t="s">
        <v>168</v>
      </c>
      <c r="B2" s="145" t="s">
        <v>169</v>
      </c>
    </row>
    <row r="3" spans="1:9">
      <c r="B3" s="146"/>
    </row>
    <row r="4" spans="1:9" ht="23.25" customHeight="1">
      <c r="A4" s="147" t="s">
        <v>170</v>
      </c>
      <c r="B4" s="147" t="s">
        <v>171</v>
      </c>
      <c r="C4" s="148" t="s">
        <v>172</v>
      </c>
      <c r="D4" s="148"/>
      <c r="E4" s="147" t="s">
        <v>173</v>
      </c>
      <c r="F4" s="147" t="s">
        <v>174</v>
      </c>
      <c r="G4" s="147" t="s">
        <v>175</v>
      </c>
      <c r="H4" s="147" t="s">
        <v>176</v>
      </c>
      <c r="I4" s="147" t="s">
        <v>177</v>
      </c>
    </row>
    <row r="5" spans="1:9" ht="15" customHeight="1">
      <c r="A5" s="149" t="s">
        <v>178</v>
      </c>
      <c r="B5" s="150" t="s">
        <v>179</v>
      </c>
    </row>
    <row r="6" spans="1:9">
      <c r="B6" s="146"/>
    </row>
    <row r="7" spans="1:9" ht="15" customHeight="1">
      <c r="A7" s="142">
        <v>1</v>
      </c>
      <c r="B7" s="151" t="s">
        <v>180</v>
      </c>
    </row>
    <row r="8" spans="1:9" ht="48" customHeight="1">
      <c r="A8" s="144" t="s">
        <v>181</v>
      </c>
      <c r="B8" s="145" t="s">
        <v>182</v>
      </c>
    </row>
    <row r="9" spans="1:9" ht="15" customHeight="1">
      <c r="B9" s="152" t="s">
        <v>183</v>
      </c>
      <c r="C9" s="153" t="s">
        <v>184</v>
      </c>
      <c r="D9" s="153">
        <v>1</v>
      </c>
      <c r="E9" s="154">
        <f>'[1]DETAILS REV1'!H11</f>
        <v>5800</v>
      </c>
      <c r="F9" s="155">
        <v>0</v>
      </c>
      <c r="G9" s="155">
        <v>0.95</v>
      </c>
      <c r="H9" s="156">
        <f t="shared" ref="H9:H15" si="0">E9*G9</f>
        <v>5510</v>
      </c>
      <c r="I9" s="153"/>
    </row>
    <row r="10" spans="1:9" ht="15" customHeight="1">
      <c r="B10" s="152" t="s">
        <v>185</v>
      </c>
      <c r="C10" s="153" t="s">
        <v>184</v>
      </c>
      <c r="D10" s="153">
        <v>1</v>
      </c>
      <c r="E10" s="154">
        <f>'[1]DETAILS REV1'!H12</f>
        <v>5800</v>
      </c>
      <c r="F10" s="155">
        <v>0</v>
      </c>
      <c r="G10" s="155">
        <v>0</v>
      </c>
      <c r="H10" s="157">
        <f t="shared" si="0"/>
        <v>0</v>
      </c>
      <c r="I10" s="153"/>
    </row>
    <row r="11" spans="1:9" ht="15" customHeight="1">
      <c r="B11" s="152" t="s">
        <v>186</v>
      </c>
      <c r="C11" s="153" t="s">
        <v>184</v>
      </c>
      <c r="D11" s="153">
        <v>1</v>
      </c>
      <c r="E11" s="154">
        <f>'[1]DETAILS REV1'!H13</f>
        <v>5800</v>
      </c>
      <c r="F11" s="155">
        <v>0</v>
      </c>
      <c r="G11" s="155">
        <v>0.95</v>
      </c>
      <c r="H11" s="156">
        <f t="shared" si="0"/>
        <v>5510</v>
      </c>
      <c r="I11" s="153"/>
    </row>
    <row r="12" spans="1:9" ht="15" customHeight="1">
      <c r="B12" s="152" t="s">
        <v>187</v>
      </c>
      <c r="C12" s="153" t="s">
        <v>184</v>
      </c>
      <c r="D12" s="153">
        <v>1</v>
      </c>
      <c r="E12" s="154">
        <f>'[1]DETAILS REV1'!H14</f>
        <v>5800</v>
      </c>
      <c r="F12" s="155">
        <v>0</v>
      </c>
      <c r="G12" s="155">
        <v>0</v>
      </c>
      <c r="H12" s="157">
        <f t="shared" si="0"/>
        <v>0</v>
      </c>
      <c r="I12" s="153"/>
    </row>
    <row r="13" spans="1:9" ht="15" customHeight="1">
      <c r="B13" s="152" t="s">
        <v>188</v>
      </c>
      <c r="C13" s="153" t="s">
        <v>184</v>
      </c>
      <c r="D13" s="153">
        <v>1</v>
      </c>
      <c r="E13" s="154">
        <f>'[1]DETAILS REV1'!H15</f>
        <v>5800</v>
      </c>
      <c r="F13" s="155">
        <v>0</v>
      </c>
      <c r="G13" s="155">
        <v>0</v>
      </c>
      <c r="H13" s="157">
        <f t="shared" si="0"/>
        <v>0</v>
      </c>
      <c r="I13" s="153"/>
    </row>
    <row r="14" spans="1:9" ht="15" customHeight="1">
      <c r="B14" s="152" t="s">
        <v>189</v>
      </c>
      <c r="C14" s="153" t="s">
        <v>184</v>
      </c>
      <c r="D14" s="153">
        <v>1</v>
      </c>
      <c r="E14" s="154">
        <f>'[1]DETAILS REV1'!H16</f>
        <v>5800</v>
      </c>
      <c r="F14" s="155">
        <v>0</v>
      </c>
      <c r="G14" s="155">
        <v>0</v>
      </c>
      <c r="H14" s="157">
        <f t="shared" si="0"/>
        <v>0</v>
      </c>
      <c r="I14" s="153"/>
    </row>
    <row r="15" spans="1:9" ht="15" customHeight="1">
      <c r="B15" s="152" t="s">
        <v>190</v>
      </c>
      <c r="C15" s="153" t="s">
        <v>184</v>
      </c>
      <c r="D15" s="153">
        <v>1</v>
      </c>
      <c r="E15" s="154">
        <f>'[1]DETAILS REV1'!H17</f>
        <v>2900</v>
      </c>
      <c r="F15" s="155">
        <v>0</v>
      </c>
      <c r="G15" s="155">
        <v>0</v>
      </c>
      <c r="H15" s="157">
        <f t="shared" si="0"/>
        <v>0</v>
      </c>
      <c r="I15" s="153"/>
    </row>
    <row r="17" spans="1:9" ht="15" customHeight="1">
      <c r="A17" s="142">
        <v>2</v>
      </c>
      <c r="B17" s="151" t="s">
        <v>191</v>
      </c>
    </row>
    <row r="18" spans="1:9" ht="48" customHeight="1">
      <c r="A18" s="144" t="s">
        <v>192</v>
      </c>
      <c r="B18" s="145" t="s">
        <v>182</v>
      </c>
    </row>
    <row r="19" spans="1:9" ht="15" customHeight="1">
      <c r="B19" s="152" t="s">
        <v>183</v>
      </c>
      <c r="C19" s="153" t="s">
        <v>184</v>
      </c>
      <c r="D19" s="153">
        <v>1</v>
      </c>
      <c r="E19" s="154">
        <f>'[1]DETAILS REV1'!H22</f>
        <v>1600</v>
      </c>
      <c r="F19" s="155">
        <v>0</v>
      </c>
      <c r="G19" s="155">
        <v>0.95</v>
      </c>
      <c r="H19" s="156">
        <f t="shared" ref="H19:H25" si="1">E19*G19</f>
        <v>1520</v>
      </c>
      <c r="I19" s="153"/>
    </row>
    <row r="20" spans="1:9" ht="15" customHeight="1">
      <c r="B20" s="152" t="s">
        <v>185</v>
      </c>
      <c r="C20" s="153" t="s">
        <v>184</v>
      </c>
      <c r="D20" s="153">
        <v>1</v>
      </c>
      <c r="E20" s="154">
        <f>'[1]DETAILS REV1'!H23</f>
        <v>1600</v>
      </c>
      <c r="F20" s="155">
        <v>0</v>
      </c>
      <c r="G20" s="155">
        <v>0</v>
      </c>
      <c r="H20" s="157">
        <f t="shared" si="1"/>
        <v>0</v>
      </c>
      <c r="I20" s="153"/>
    </row>
    <row r="21" spans="1:9" ht="15" customHeight="1">
      <c r="B21" s="152" t="s">
        <v>186</v>
      </c>
      <c r="C21" s="153" t="s">
        <v>184</v>
      </c>
      <c r="D21" s="153">
        <v>1</v>
      </c>
      <c r="E21" s="154">
        <f>'[1]DETAILS REV1'!H24</f>
        <v>1600</v>
      </c>
      <c r="F21" s="155">
        <v>0</v>
      </c>
      <c r="G21" s="155">
        <v>0.95</v>
      </c>
      <c r="H21" s="156">
        <f t="shared" si="1"/>
        <v>1520</v>
      </c>
      <c r="I21" s="153"/>
    </row>
    <row r="22" spans="1:9" ht="15" customHeight="1">
      <c r="B22" s="152" t="s">
        <v>187</v>
      </c>
      <c r="C22" s="153" t="s">
        <v>184</v>
      </c>
      <c r="D22" s="153">
        <v>1</v>
      </c>
      <c r="E22" s="154">
        <f>'[1]DETAILS REV1'!H25</f>
        <v>1600</v>
      </c>
      <c r="F22" s="155">
        <v>0</v>
      </c>
      <c r="G22" s="155">
        <v>0</v>
      </c>
      <c r="H22" s="157">
        <f t="shared" si="1"/>
        <v>0</v>
      </c>
      <c r="I22" s="153"/>
    </row>
    <row r="23" spans="1:9" ht="15" customHeight="1">
      <c r="B23" s="152" t="s">
        <v>188</v>
      </c>
      <c r="C23" s="153" t="s">
        <v>184</v>
      </c>
      <c r="D23" s="153">
        <v>1</v>
      </c>
      <c r="E23" s="154">
        <f>'[1]DETAILS REV1'!H26</f>
        <v>1600</v>
      </c>
      <c r="F23" s="155">
        <v>0</v>
      </c>
      <c r="G23" s="155">
        <v>0</v>
      </c>
      <c r="H23" s="157">
        <f t="shared" si="1"/>
        <v>0</v>
      </c>
      <c r="I23" s="153"/>
    </row>
    <row r="24" spans="1:9" ht="15" customHeight="1">
      <c r="B24" s="152" t="s">
        <v>189</v>
      </c>
      <c r="C24" s="153" t="s">
        <v>184</v>
      </c>
      <c r="D24" s="153">
        <v>1</v>
      </c>
      <c r="E24" s="154">
        <f>'[1]DETAILS REV1'!H27</f>
        <v>1600</v>
      </c>
      <c r="F24" s="155">
        <v>0</v>
      </c>
      <c r="G24" s="155">
        <v>0</v>
      </c>
      <c r="H24" s="157">
        <f t="shared" si="1"/>
        <v>0</v>
      </c>
      <c r="I24" s="153"/>
    </row>
    <row r="25" spans="1:9" ht="15" customHeight="1">
      <c r="B25" s="152" t="s">
        <v>190</v>
      </c>
      <c r="C25" s="153" t="s">
        <v>184</v>
      </c>
      <c r="D25" s="153">
        <v>1</v>
      </c>
      <c r="E25" s="154">
        <f>'[1]DETAILS REV1'!H28</f>
        <v>1600</v>
      </c>
      <c r="F25" s="155">
        <v>0</v>
      </c>
      <c r="G25" s="155">
        <v>0</v>
      </c>
      <c r="H25" s="157">
        <f t="shared" si="1"/>
        <v>0</v>
      </c>
      <c r="I25" s="153"/>
    </row>
    <row r="27" spans="1:9" ht="15" customHeight="1">
      <c r="A27" s="142">
        <v>3</v>
      </c>
      <c r="B27" s="151" t="s">
        <v>193</v>
      </c>
    </row>
    <row r="28" spans="1:9" ht="48" customHeight="1">
      <c r="A28" s="144" t="s">
        <v>194</v>
      </c>
      <c r="B28" s="145" t="s">
        <v>182</v>
      </c>
    </row>
    <row r="29" spans="1:9" ht="15" customHeight="1">
      <c r="B29" s="152" t="s">
        <v>183</v>
      </c>
      <c r="C29" s="153" t="s">
        <v>184</v>
      </c>
      <c r="D29" s="153">
        <v>1</v>
      </c>
      <c r="E29" s="154">
        <f>'[1]DETAILS REV1'!H33</f>
        <v>510</v>
      </c>
      <c r="F29" s="155">
        <v>0</v>
      </c>
      <c r="G29" s="155">
        <v>0.95</v>
      </c>
      <c r="H29" s="156">
        <f t="shared" ref="H29:H35" si="2">E29*G29</f>
        <v>484.5</v>
      </c>
      <c r="I29" s="153"/>
    </row>
    <row r="30" spans="1:9" ht="15" customHeight="1">
      <c r="B30" s="152" t="s">
        <v>185</v>
      </c>
      <c r="C30" s="153" t="s">
        <v>184</v>
      </c>
      <c r="D30" s="153">
        <v>1</v>
      </c>
      <c r="E30" s="154">
        <f>'[1]DETAILS REV1'!H34</f>
        <v>510</v>
      </c>
      <c r="F30" s="155">
        <v>0</v>
      </c>
      <c r="G30" s="155">
        <v>0</v>
      </c>
      <c r="H30" s="157">
        <f t="shared" si="2"/>
        <v>0</v>
      </c>
      <c r="I30" s="153"/>
    </row>
    <row r="31" spans="1:9" ht="15" customHeight="1">
      <c r="B31" s="152" t="s">
        <v>186</v>
      </c>
      <c r="C31" s="153" t="s">
        <v>184</v>
      </c>
      <c r="D31" s="153">
        <v>1</v>
      </c>
      <c r="E31" s="154">
        <f>'[1]DETAILS REV1'!H35</f>
        <v>510</v>
      </c>
      <c r="F31" s="155">
        <v>0</v>
      </c>
      <c r="G31" s="155">
        <v>0.95</v>
      </c>
      <c r="H31" s="156">
        <f t="shared" si="2"/>
        <v>484.5</v>
      </c>
      <c r="I31" s="153"/>
    </row>
    <row r="32" spans="1:9" ht="15" customHeight="1">
      <c r="B32" s="152" t="s">
        <v>187</v>
      </c>
      <c r="C32" s="153" t="s">
        <v>184</v>
      </c>
      <c r="D32" s="153">
        <v>1</v>
      </c>
      <c r="E32" s="154">
        <f>'[1]DETAILS REV1'!H36</f>
        <v>510</v>
      </c>
      <c r="F32" s="155">
        <v>0</v>
      </c>
      <c r="G32" s="155">
        <v>0</v>
      </c>
      <c r="H32" s="157">
        <f t="shared" si="2"/>
        <v>0</v>
      </c>
      <c r="I32" s="153"/>
    </row>
    <row r="33" spans="1:9" ht="15" customHeight="1">
      <c r="B33" s="152" t="s">
        <v>188</v>
      </c>
      <c r="C33" s="153" t="s">
        <v>184</v>
      </c>
      <c r="D33" s="153">
        <v>1</v>
      </c>
      <c r="E33" s="154">
        <f>'[1]DETAILS REV1'!H37</f>
        <v>510</v>
      </c>
      <c r="F33" s="155">
        <v>0</v>
      </c>
      <c r="G33" s="155">
        <v>0</v>
      </c>
      <c r="H33" s="157">
        <f t="shared" si="2"/>
        <v>0</v>
      </c>
      <c r="I33" s="153"/>
    </row>
    <row r="34" spans="1:9" ht="15" customHeight="1">
      <c r="B34" s="152" t="s">
        <v>189</v>
      </c>
      <c r="C34" s="153" t="s">
        <v>184</v>
      </c>
      <c r="D34" s="153">
        <v>1</v>
      </c>
      <c r="E34" s="154">
        <f>'[1]DETAILS REV1'!H38</f>
        <v>510</v>
      </c>
      <c r="F34" s="155">
        <v>0</v>
      </c>
      <c r="G34" s="155">
        <v>0</v>
      </c>
      <c r="H34" s="157">
        <f t="shared" si="2"/>
        <v>0</v>
      </c>
      <c r="I34" s="153"/>
    </row>
    <row r="35" spans="1:9" ht="15" customHeight="1">
      <c r="B35" s="152" t="s">
        <v>190</v>
      </c>
      <c r="C35" s="153" t="s">
        <v>184</v>
      </c>
      <c r="D35" s="153">
        <v>1</v>
      </c>
      <c r="E35" s="154">
        <f>'[1]DETAILS REV1'!H39</f>
        <v>510</v>
      </c>
      <c r="F35" s="155">
        <v>0</v>
      </c>
      <c r="G35" s="155">
        <v>0</v>
      </c>
      <c r="H35" s="157">
        <f t="shared" si="2"/>
        <v>0</v>
      </c>
      <c r="I35" s="153"/>
    </row>
    <row r="37" spans="1:9" ht="15" customHeight="1">
      <c r="A37" s="149">
        <v>4</v>
      </c>
      <c r="B37" s="149" t="s">
        <v>195</v>
      </c>
    </row>
    <row r="38" spans="1:9" ht="15" customHeight="1">
      <c r="B38" s="151" t="s">
        <v>196</v>
      </c>
    </row>
    <row r="39" spans="1:9" ht="15" customHeight="1">
      <c r="B39" s="152" t="s">
        <v>197</v>
      </c>
      <c r="C39" s="153" t="s">
        <v>184</v>
      </c>
      <c r="D39" s="153">
        <v>1</v>
      </c>
      <c r="E39" s="154">
        <f>'[1]DETAILS REV1'!H45</f>
        <v>2900</v>
      </c>
      <c r="F39" s="155">
        <v>0</v>
      </c>
      <c r="G39" s="155">
        <v>0</v>
      </c>
      <c r="H39" s="157">
        <f>E39*G39</f>
        <v>0</v>
      </c>
      <c r="I39" s="153"/>
    </row>
    <row r="40" spans="1:9" ht="15" customHeight="1">
      <c r="B40" s="152" t="s">
        <v>198</v>
      </c>
      <c r="C40" s="153" t="s">
        <v>184</v>
      </c>
      <c r="D40" s="153">
        <v>1</v>
      </c>
      <c r="E40" s="154">
        <f>'[1]DETAILS REV1'!H46</f>
        <v>2900</v>
      </c>
      <c r="F40" s="155">
        <v>0</v>
      </c>
      <c r="G40" s="155">
        <v>0</v>
      </c>
      <c r="H40" s="157">
        <f>E40*G40</f>
        <v>0</v>
      </c>
      <c r="I40" s="153"/>
    </row>
    <row r="42" spans="1:9" ht="15" hidden="1" customHeight="1">
      <c r="A42" s="144"/>
      <c r="B42" s="142"/>
    </row>
    <row r="43" spans="1:9" ht="15" hidden="1" customHeight="1">
      <c r="B43" s="158"/>
      <c r="C43" s="144"/>
      <c r="D43" s="144"/>
      <c r="E43" s="159"/>
      <c r="F43" s="160"/>
      <c r="G43" s="160"/>
      <c r="H43" s="159"/>
      <c r="I43" s="144"/>
    </row>
    <row r="44" spans="1:9" hidden="1"/>
    <row r="45" spans="1:9" hidden="1"/>
    <row r="46" spans="1:9" hidden="1"/>
    <row r="47" spans="1:9" hidden="1"/>
    <row r="48" spans="1:9" hidden="1"/>
    <row r="49" spans="1:8" hidden="1"/>
    <row r="50" spans="1:8" hidden="1"/>
    <row r="51" spans="1:8" hidden="1"/>
    <row r="52" spans="1:8" hidden="1"/>
    <row r="53" spans="1:8" ht="15" customHeight="1">
      <c r="B53" s="161" t="s">
        <v>199</v>
      </c>
      <c r="E53" s="162">
        <f>SUM(E9:E15,E19:E25,E29:E35,E39:E40)</f>
        <v>58270</v>
      </c>
      <c r="H53" s="162">
        <f>SUM(H9:H15,H19:H25,H29:H35,H39:H40)</f>
        <v>15029</v>
      </c>
    </row>
    <row r="55" spans="1:8" ht="15" customHeight="1">
      <c r="A55" s="142" t="s">
        <v>200</v>
      </c>
    </row>
    <row r="56" spans="1:8" ht="15" customHeight="1">
      <c r="A56" s="142" t="s">
        <v>201</v>
      </c>
      <c r="D56" s="142" t="s">
        <v>202</v>
      </c>
      <c r="G56" s="142" t="s">
        <v>203</v>
      </c>
    </row>
    <row r="57" spans="1:8" ht="15" customHeight="1">
      <c r="A57" s="143" t="s">
        <v>204</v>
      </c>
      <c r="D57" s="143" t="s">
        <v>204</v>
      </c>
      <c r="G57" s="143" t="s">
        <v>204</v>
      </c>
    </row>
    <row r="58" spans="1:8" ht="15" customHeight="1">
      <c r="A58" s="142" t="s">
        <v>205</v>
      </c>
      <c r="D58" s="142" t="s">
        <v>206</v>
      </c>
      <c r="G58" s="142" t="s">
        <v>207</v>
      </c>
    </row>
    <row r="59" spans="1:8" ht="15" customHeight="1">
      <c r="A59" s="143" t="s">
        <v>208</v>
      </c>
      <c r="D59" s="143" t="s">
        <v>208</v>
      </c>
      <c r="G59" s="143" t="s">
        <v>208</v>
      </c>
    </row>
  </sheetData>
  <mergeCells count="1">
    <mergeCell ref="C4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3A71-AC1F-402D-96B3-B317C1EE9AEB}">
  <dimension ref="A1:I59"/>
  <sheetViews>
    <sheetView zoomScale="51" workbookViewId="0">
      <selection activeCell="K29" sqref="K29"/>
    </sheetView>
  </sheetViews>
  <sheetFormatPr defaultColWidth="8.6640625" defaultRowHeight="29.4" customHeight="1"/>
  <cols>
    <col min="1" max="1" width="119.33203125" style="164" bestFit="1" customWidth="1"/>
    <col min="2" max="2" width="79.21875" style="164" bestFit="1" customWidth="1"/>
    <col min="3" max="3" width="5.77734375" style="164" bestFit="1" customWidth="1"/>
    <col min="4" max="4" width="8.44140625" style="164" bestFit="1" customWidth="1"/>
    <col min="5" max="5" width="16.21875" style="164" bestFit="1" customWidth="1"/>
    <col min="6" max="6" width="12" style="164" bestFit="1" customWidth="1"/>
    <col min="7" max="7" width="13" style="164" bestFit="1" customWidth="1"/>
    <col min="8" max="8" width="15.5546875" style="164" bestFit="1" customWidth="1"/>
    <col min="9" max="9" width="8.5546875" style="164" customWidth="1"/>
    <col min="10" max="16384" width="8.6640625" style="164"/>
  </cols>
  <sheetData>
    <row r="1" spans="1:9" ht="29.4" customHeight="1">
      <c r="A1" s="163" t="s">
        <v>167</v>
      </c>
    </row>
    <row r="2" spans="1:9" ht="29.4" customHeight="1">
      <c r="A2" s="163" t="s">
        <v>168</v>
      </c>
      <c r="B2" s="163" t="s">
        <v>209</v>
      </c>
    </row>
    <row r="3" spans="1:9" ht="29.4" customHeight="1">
      <c r="A3" s="165" t="s">
        <v>210</v>
      </c>
    </row>
    <row r="4" spans="1:9" ht="29.4" customHeight="1">
      <c r="A4" s="166" t="s">
        <v>170</v>
      </c>
      <c r="B4" s="166" t="s">
        <v>171</v>
      </c>
      <c r="C4" s="167" t="s">
        <v>172</v>
      </c>
      <c r="D4" s="167"/>
      <c r="E4" s="166" t="s">
        <v>173</v>
      </c>
      <c r="F4" s="166" t="s">
        <v>174</v>
      </c>
      <c r="G4" s="166" t="s">
        <v>175</v>
      </c>
      <c r="H4" s="166" t="s">
        <v>176</v>
      </c>
      <c r="I4" s="166" t="s">
        <v>177</v>
      </c>
    </row>
    <row r="5" spans="1:9" ht="29.4" customHeight="1">
      <c r="A5" s="168" t="s">
        <v>178</v>
      </c>
      <c r="B5" s="168" t="s">
        <v>211</v>
      </c>
    </row>
    <row r="6" spans="1:9" ht="29.4" customHeight="1">
      <c r="A6" s="163" t="s">
        <v>212</v>
      </c>
      <c r="B6" s="163" t="s">
        <v>213</v>
      </c>
    </row>
    <row r="7" spans="1:9" ht="29.4" customHeight="1">
      <c r="A7" s="163" t="s">
        <v>181</v>
      </c>
      <c r="B7" s="163" t="s">
        <v>214</v>
      </c>
    </row>
    <row r="8" spans="1:9" ht="29.4" customHeight="1">
      <c r="B8" s="169" t="s">
        <v>215</v>
      </c>
      <c r="C8" s="170" t="s">
        <v>216</v>
      </c>
      <c r="D8" s="171">
        <v>10.75</v>
      </c>
      <c r="E8" s="172">
        <v>80</v>
      </c>
      <c r="F8" s="173">
        <v>0</v>
      </c>
      <c r="G8" s="174">
        <v>0.95</v>
      </c>
      <c r="H8" s="175">
        <f t="shared" ref="H8:H26" si="0">D8*E8*G8</f>
        <v>817</v>
      </c>
      <c r="I8" s="170"/>
    </row>
    <row r="9" spans="1:9" ht="29.4" customHeight="1">
      <c r="B9" s="169" t="s">
        <v>217</v>
      </c>
      <c r="C9" s="170" t="s">
        <v>216</v>
      </c>
      <c r="D9" s="171">
        <v>4.5</v>
      </c>
      <c r="E9" s="172">
        <v>80</v>
      </c>
      <c r="F9" s="173">
        <v>0</v>
      </c>
      <c r="G9" s="174">
        <v>0.95</v>
      </c>
      <c r="H9" s="175">
        <f t="shared" si="0"/>
        <v>342</v>
      </c>
      <c r="I9" s="170"/>
    </row>
    <row r="10" spans="1:9" ht="29.4" customHeight="1">
      <c r="B10" s="169" t="s">
        <v>218</v>
      </c>
      <c r="C10" s="170" t="s">
        <v>216</v>
      </c>
      <c r="D10" s="171">
        <v>4.5</v>
      </c>
      <c r="E10" s="172">
        <v>80</v>
      </c>
      <c r="F10" s="173">
        <v>0</v>
      </c>
      <c r="G10" s="174">
        <v>0.95</v>
      </c>
      <c r="H10" s="175">
        <f t="shared" si="0"/>
        <v>342</v>
      </c>
      <c r="I10" s="170"/>
    </row>
    <row r="11" spans="1:9" ht="29.4" customHeight="1">
      <c r="B11" s="169" t="s">
        <v>219</v>
      </c>
      <c r="C11" s="170" t="s">
        <v>216</v>
      </c>
      <c r="D11" s="171">
        <v>4.5</v>
      </c>
      <c r="E11" s="172">
        <v>80</v>
      </c>
      <c r="F11" s="173">
        <v>0</v>
      </c>
      <c r="G11" s="174">
        <v>0.95</v>
      </c>
      <c r="H11" s="175">
        <f t="shared" si="0"/>
        <v>342</v>
      </c>
      <c r="I11" s="170"/>
    </row>
    <row r="12" spans="1:9" ht="29.4" customHeight="1">
      <c r="B12" s="169" t="s">
        <v>220</v>
      </c>
      <c r="C12" s="170" t="s">
        <v>216</v>
      </c>
      <c r="D12" s="171">
        <v>4.5</v>
      </c>
      <c r="E12" s="172">
        <v>80</v>
      </c>
      <c r="F12" s="173">
        <v>0</v>
      </c>
      <c r="G12" s="174">
        <v>0.95</v>
      </c>
      <c r="H12" s="175">
        <f t="shared" si="0"/>
        <v>342</v>
      </c>
      <c r="I12" s="170"/>
    </row>
    <row r="13" spans="1:9" ht="29.4" customHeight="1">
      <c r="B13" s="169" t="s">
        <v>221</v>
      </c>
      <c r="C13" s="170" t="s">
        <v>216</v>
      </c>
      <c r="D13" s="171">
        <v>4.5</v>
      </c>
      <c r="E13" s="172">
        <v>80</v>
      </c>
      <c r="F13" s="173">
        <v>0</v>
      </c>
      <c r="G13" s="174">
        <v>0.95</v>
      </c>
      <c r="H13" s="175">
        <f t="shared" si="0"/>
        <v>342</v>
      </c>
      <c r="I13" s="170"/>
    </row>
    <row r="14" spans="1:9" ht="29.4" customHeight="1">
      <c r="B14" s="169" t="s">
        <v>222</v>
      </c>
      <c r="C14" s="170" t="s">
        <v>216</v>
      </c>
      <c r="D14" s="171">
        <v>4.5</v>
      </c>
      <c r="E14" s="172">
        <v>80</v>
      </c>
      <c r="F14" s="173">
        <v>0</v>
      </c>
      <c r="G14" s="174">
        <v>0.95</v>
      </c>
      <c r="H14" s="175">
        <f t="shared" si="0"/>
        <v>342</v>
      </c>
      <c r="I14" s="170"/>
    </row>
    <row r="15" spans="1:9" ht="29.4" customHeight="1">
      <c r="B15" s="169" t="s">
        <v>223</v>
      </c>
      <c r="C15" s="170" t="s">
        <v>216</v>
      </c>
      <c r="D15" s="171">
        <v>4.5</v>
      </c>
      <c r="E15" s="172">
        <v>80</v>
      </c>
      <c r="F15" s="173">
        <v>0</v>
      </c>
      <c r="G15" s="174">
        <v>0.95</v>
      </c>
      <c r="H15" s="175">
        <f t="shared" si="0"/>
        <v>342</v>
      </c>
      <c r="I15" s="170"/>
    </row>
    <row r="16" spans="1:9" ht="29.4" customHeight="1">
      <c r="B16" s="169" t="s">
        <v>224</v>
      </c>
      <c r="C16" s="170" t="s">
        <v>216</v>
      </c>
      <c r="D16" s="171">
        <v>4.5</v>
      </c>
      <c r="E16" s="172">
        <v>80</v>
      </c>
      <c r="F16" s="173">
        <v>0</v>
      </c>
      <c r="G16" s="174">
        <v>0.95</v>
      </c>
      <c r="H16" s="175">
        <f t="shared" si="0"/>
        <v>342</v>
      </c>
      <c r="I16" s="170"/>
    </row>
    <row r="17" spans="1:9" ht="29.4" customHeight="1">
      <c r="B17" s="169" t="s">
        <v>225</v>
      </c>
      <c r="C17" s="170" t="s">
        <v>216</v>
      </c>
      <c r="D17" s="171">
        <v>4.5</v>
      </c>
      <c r="E17" s="172">
        <v>80</v>
      </c>
      <c r="F17" s="173">
        <v>0</v>
      </c>
      <c r="G17" s="174">
        <v>0</v>
      </c>
      <c r="H17" s="175">
        <f t="shared" si="0"/>
        <v>0</v>
      </c>
      <c r="I17" s="170"/>
    </row>
    <row r="18" spans="1:9" ht="29.4" customHeight="1">
      <c r="B18" s="169" t="s">
        <v>226</v>
      </c>
      <c r="C18" s="170" t="s">
        <v>216</v>
      </c>
      <c r="D18" s="171">
        <v>4.5</v>
      </c>
      <c r="E18" s="172">
        <v>80</v>
      </c>
      <c r="F18" s="173">
        <v>0</v>
      </c>
      <c r="G18" s="174">
        <v>0</v>
      </c>
      <c r="H18" s="175">
        <f t="shared" si="0"/>
        <v>0</v>
      </c>
      <c r="I18" s="170"/>
    </row>
    <row r="19" spans="1:9" ht="29.4" customHeight="1">
      <c r="B19" s="169" t="s">
        <v>227</v>
      </c>
      <c r="C19" s="170" t="s">
        <v>216</v>
      </c>
      <c r="D19" s="171">
        <v>4.5</v>
      </c>
      <c r="E19" s="172">
        <v>80</v>
      </c>
      <c r="F19" s="173">
        <v>0</v>
      </c>
      <c r="G19" s="174">
        <v>0</v>
      </c>
      <c r="H19" s="175">
        <f t="shared" si="0"/>
        <v>0</v>
      </c>
      <c r="I19" s="170"/>
    </row>
    <row r="20" spans="1:9" ht="29.4" customHeight="1">
      <c r="B20" s="169" t="s">
        <v>183</v>
      </c>
      <c r="C20" s="170" t="s">
        <v>216</v>
      </c>
      <c r="D20" s="171">
        <v>4.5</v>
      </c>
      <c r="E20" s="172">
        <v>80</v>
      </c>
      <c r="F20" s="173">
        <v>0</v>
      </c>
      <c r="G20" s="174">
        <v>0</v>
      </c>
      <c r="H20" s="175">
        <f t="shared" si="0"/>
        <v>0</v>
      </c>
      <c r="I20" s="170"/>
    </row>
    <row r="21" spans="1:9" ht="29.4" customHeight="1">
      <c r="B21" s="169" t="s">
        <v>185</v>
      </c>
      <c r="C21" s="170" t="s">
        <v>216</v>
      </c>
      <c r="D21" s="171">
        <v>4.5</v>
      </c>
      <c r="E21" s="172">
        <v>80</v>
      </c>
      <c r="F21" s="173">
        <v>0</v>
      </c>
      <c r="G21" s="174">
        <v>0</v>
      </c>
      <c r="H21" s="175">
        <f t="shared" si="0"/>
        <v>0</v>
      </c>
      <c r="I21" s="170"/>
    </row>
    <row r="22" spans="1:9" ht="29.4" customHeight="1">
      <c r="B22" s="169" t="s">
        <v>186</v>
      </c>
      <c r="C22" s="170" t="s">
        <v>216</v>
      </c>
      <c r="D22" s="171">
        <v>5.0999999999999996</v>
      </c>
      <c r="E22" s="172">
        <v>80</v>
      </c>
      <c r="F22" s="173">
        <v>0</v>
      </c>
      <c r="G22" s="174">
        <v>0</v>
      </c>
      <c r="H22" s="175">
        <f t="shared" si="0"/>
        <v>0</v>
      </c>
      <c r="I22" s="170"/>
    </row>
    <row r="23" spans="1:9" ht="29.4" customHeight="1">
      <c r="B23" s="169" t="s">
        <v>187</v>
      </c>
      <c r="C23" s="170" t="s">
        <v>216</v>
      </c>
      <c r="D23" s="171">
        <v>5.0999999999999996</v>
      </c>
      <c r="E23" s="172">
        <v>80</v>
      </c>
      <c r="F23" s="173">
        <v>0</v>
      </c>
      <c r="G23" s="174">
        <v>0</v>
      </c>
      <c r="H23" s="175">
        <f t="shared" si="0"/>
        <v>0</v>
      </c>
      <c r="I23" s="170"/>
    </row>
    <row r="24" spans="1:9" ht="29.4" customHeight="1">
      <c r="B24" s="169" t="s">
        <v>188</v>
      </c>
      <c r="C24" s="170" t="s">
        <v>216</v>
      </c>
      <c r="D24" s="171">
        <v>5.0999999999999996</v>
      </c>
      <c r="E24" s="172">
        <v>80</v>
      </c>
      <c r="F24" s="173">
        <v>0</v>
      </c>
      <c r="G24" s="174">
        <v>0</v>
      </c>
      <c r="H24" s="175">
        <f t="shared" si="0"/>
        <v>0</v>
      </c>
      <c r="I24" s="170"/>
    </row>
    <row r="25" spans="1:9" ht="29.4" customHeight="1">
      <c r="B25" s="169" t="s">
        <v>189</v>
      </c>
      <c r="C25" s="170" t="s">
        <v>216</v>
      </c>
      <c r="D25" s="171">
        <v>6</v>
      </c>
      <c r="E25" s="172">
        <v>80</v>
      </c>
      <c r="F25" s="173">
        <v>0</v>
      </c>
      <c r="G25" s="174">
        <v>0</v>
      </c>
      <c r="H25" s="175">
        <f t="shared" si="0"/>
        <v>0</v>
      </c>
      <c r="I25" s="170"/>
    </row>
    <row r="26" spans="1:9" ht="29.4" customHeight="1">
      <c r="B26" s="176" t="s">
        <v>190</v>
      </c>
      <c r="C26" s="177" t="s">
        <v>216</v>
      </c>
      <c r="D26" s="178">
        <v>12.7</v>
      </c>
      <c r="E26" s="179">
        <v>80</v>
      </c>
      <c r="F26" s="180">
        <v>0</v>
      </c>
      <c r="G26" s="181">
        <v>0</v>
      </c>
      <c r="H26" s="182">
        <f t="shared" si="0"/>
        <v>0</v>
      </c>
      <c r="I26" s="177"/>
    </row>
    <row r="27" spans="1:9" ht="29.4" customHeight="1">
      <c r="B27" s="183"/>
      <c r="C27" s="184"/>
      <c r="D27" s="185"/>
      <c r="E27" s="186"/>
      <c r="F27" s="187"/>
      <c r="G27" s="187"/>
      <c r="H27" s="186"/>
      <c r="I27" s="188"/>
    </row>
    <row r="28" spans="1:9" ht="29.4" customHeight="1">
      <c r="A28" s="163" t="s">
        <v>228</v>
      </c>
      <c r="B28" s="189" t="s">
        <v>229</v>
      </c>
      <c r="C28" s="190"/>
      <c r="D28" s="191"/>
      <c r="E28" s="192"/>
      <c r="F28" s="193"/>
      <c r="G28" s="194"/>
      <c r="H28" s="195"/>
      <c r="I28" s="190"/>
    </row>
    <row r="29" spans="1:9" ht="29.4" customHeight="1">
      <c r="B29" s="169" t="s">
        <v>230</v>
      </c>
      <c r="C29" s="170" t="s">
        <v>231</v>
      </c>
      <c r="D29" s="171">
        <v>3</v>
      </c>
      <c r="E29" s="172">
        <v>150</v>
      </c>
      <c r="F29" s="173">
        <v>0</v>
      </c>
      <c r="G29" s="174">
        <v>0.95</v>
      </c>
      <c r="H29" s="175">
        <f t="shared" ref="H29:H34" si="1">D29*E29*G29</f>
        <v>427.5</v>
      </c>
      <c r="I29" s="170"/>
    </row>
    <row r="30" spans="1:9" ht="29.4" customHeight="1">
      <c r="B30" s="169" t="s">
        <v>232</v>
      </c>
      <c r="C30" s="170" t="s">
        <v>231</v>
      </c>
      <c r="D30" s="171">
        <v>2</v>
      </c>
      <c r="E30" s="172">
        <v>150</v>
      </c>
      <c r="F30" s="173">
        <v>0</v>
      </c>
      <c r="G30" s="174">
        <v>0.95</v>
      </c>
      <c r="H30" s="175">
        <f t="shared" si="1"/>
        <v>285</v>
      </c>
      <c r="I30" s="170"/>
    </row>
    <row r="31" spans="1:9" ht="29.4" customHeight="1">
      <c r="B31" s="169" t="s">
        <v>233</v>
      </c>
      <c r="C31" s="170" t="s">
        <v>231</v>
      </c>
      <c r="D31" s="171">
        <v>2</v>
      </c>
      <c r="E31" s="172">
        <v>150</v>
      </c>
      <c r="F31" s="173">
        <v>0</v>
      </c>
      <c r="G31" s="174">
        <v>0</v>
      </c>
      <c r="H31" s="175">
        <f t="shared" si="1"/>
        <v>0</v>
      </c>
      <c r="I31" s="170"/>
    </row>
    <row r="32" spans="1:9" ht="29.4" customHeight="1">
      <c r="B32" s="169" t="s">
        <v>234</v>
      </c>
      <c r="C32" s="170" t="s">
        <v>231</v>
      </c>
      <c r="D32" s="171">
        <v>1</v>
      </c>
      <c r="E32" s="172">
        <v>150</v>
      </c>
      <c r="F32" s="173">
        <v>0</v>
      </c>
      <c r="G32" s="174">
        <v>0</v>
      </c>
      <c r="H32" s="175">
        <f t="shared" si="1"/>
        <v>0</v>
      </c>
      <c r="I32" s="170"/>
    </row>
    <row r="33" spans="1:9" ht="29.4" customHeight="1">
      <c r="B33" s="169" t="s">
        <v>235</v>
      </c>
      <c r="C33" s="170" t="s">
        <v>231</v>
      </c>
      <c r="D33" s="171">
        <v>1</v>
      </c>
      <c r="E33" s="172">
        <v>80</v>
      </c>
      <c r="F33" s="173">
        <v>0</v>
      </c>
      <c r="G33" s="174">
        <v>1</v>
      </c>
      <c r="H33" s="175">
        <f t="shared" si="1"/>
        <v>80</v>
      </c>
      <c r="I33" s="170"/>
    </row>
    <row r="34" spans="1:9" ht="29.4" customHeight="1">
      <c r="A34" s="163"/>
      <c r="B34" s="176" t="s">
        <v>236</v>
      </c>
      <c r="C34" s="177" t="s">
        <v>231</v>
      </c>
      <c r="D34" s="178">
        <v>1</v>
      </c>
      <c r="E34" s="179">
        <v>80</v>
      </c>
      <c r="F34" s="180">
        <v>0</v>
      </c>
      <c r="G34" s="181">
        <v>0</v>
      </c>
      <c r="H34" s="182">
        <f t="shared" si="1"/>
        <v>0</v>
      </c>
      <c r="I34" s="177"/>
    </row>
    <row r="35" spans="1:9" ht="29.4" customHeight="1">
      <c r="A35" s="196"/>
      <c r="B35" s="183"/>
      <c r="C35" s="184"/>
      <c r="D35" s="185"/>
      <c r="E35" s="186"/>
      <c r="F35" s="187"/>
      <c r="G35" s="187"/>
      <c r="H35" s="186"/>
      <c r="I35" s="188"/>
    </row>
    <row r="36" spans="1:9" ht="29.4" customHeight="1">
      <c r="A36" s="163" t="s">
        <v>237</v>
      </c>
      <c r="B36" s="189" t="s">
        <v>238</v>
      </c>
      <c r="C36" s="190"/>
      <c r="D36" s="191"/>
      <c r="E36" s="192"/>
      <c r="F36" s="193"/>
      <c r="G36" s="194"/>
      <c r="H36" s="195"/>
      <c r="I36" s="190"/>
    </row>
    <row r="37" spans="1:9" ht="29.4" customHeight="1">
      <c r="A37" s="163" t="s">
        <v>192</v>
      </c>
      <c r="B37" s="169" t="s">
        <v>214</v>
      </c>
      <c r="C37" s="170"/>
      <c r="D37" s="171"/>
      <c r="E37" s="172"/>
      <c r="F37" s="173"/>
      <c r="G37" s="174"/>
      <c r="H37" s="175"/>
      <c r="I37" s="170"/>
    </row>
    <row r="38" spans="1:9" ht="29.4" customHeight="1">
      <c r="B38" s="169" t="s">
        <v>224</v>
      </c>
      <c r="C38" s="170" t="s">
        <v>216</v>
      </c>
      <c r="D38" s="171">
        <v>4.5</v>
      </c>
      <c r="E38" s="172">
        <v>80</v>
      </c>
      <c r="F38" s="173">
        <v>0</v>
      </c>
      <c r="G38" s="174">
        <v>0.95</v>
      </c>
      <c r="H38" s="175">
        <f t="shared" ref="H38:H48" si="2">D38*E38*G38</f>
        <v>342</v>
      </c>
      <c r="I38" s="170"/>
    </row>
    <row r="39" spans="1:9" ht="29.4" customHeight="1">
      <c r="B39" s="169" t="s">
        <v>225</v>
      </c>
      <c r="C39" s="170" t="s">
        <v>216</v>
      </c>
      <c r="D39" s="171">
        <v>4.5</v>
      </c>
      <c r="E39" s="172">
        <v>80</v>
      </c>
      <c r="F39" s="173">
        <v>0</v>
      </c>
      <c r="G39" s="174">
        <v>0.95</v>
      </c>
      <c r="H39" s="175">
        <f t="shared" si="2"/>
        <v>342</v>
      </c>
      <c r="I39" s="170"/>
    </row>
    <row r="40" spans="1:9" ht="29.4" customHeight="1">
      <c r="B40" s="169" t="s">
        <v>226</v>
      </c>
      <c r="C40" s="170" t="s">
        <v>216</v>
      </c>
      <c r="D40" s="171">
        <v>4.5</v>
      </c>
      <c r="E40" s="172">
        <v>80</v>
      </c>
      <c r="F40" s="173">
        <v>0</v>
      </c>
      <c r="G40" s="174">
        <v>0.95</v>
      </c>
      <c r="H40" s="175">
        <f t="shared" si="2"/>
        <v>342</v>
      </c>
      <c r="I40" s="170"/>
    </row>
    <row r="41" spans="1:9" ht="29.4" customHeight="1">
      <c r="B41" s="169" t="s">
        <v>227</v>
      </c>
      <c r="C41" s="170" t="s">
        <v>216</v>
      </c>
      <c r="D41" s="171">
        <v>4.5</v>
      </c>
      <c r="E41" s="172">
        <v>80</v>
      </c>
      <c r="F41" s="173">
        <v>0</v>
      </c>
      <c r="G41" s="174">
        <v>0.95</v>
      </c>
      <c r="H41" s="175">
        <f t="shared" si="2"/>
        <v>342</v>
      </c>
      <c r="I41" s="170"/>
    </row>
    <row r="42" spans="1:9" ht="29.4" customHeight="1">
      <c r="B42" s="169" t="s">
        <v>183</v>
      </c>
      <c r="C42" s="170" t="s">
        <v>216</v>
      </c>
      <c r="D42" s="171">
        <v>4.5</v>
      </c>
      <c r="E42" s="172">
        <v>80</v>
      </c>
      <c r="F42" s="173">
        <v>0</v>
      </c>
      <c r="G42" s="174">
        <v>0.95</v>
      </c>
      <c r="H42" s="175">
        <f t="shared" si="2"/>
        <v>342</v>
      </c>
      <c r="I42" s="170"/>
    </row>
    <row r="43" spans="1:9" ht="29.4" customHeight="1">
      <c r="B43" s="169" t="s">
        <v>185</v>
      </c>
      <c r="C43" s="170" t="s">
        <v>216</v>
      </c>
      <c r="D43" s="171">
        <v>4.5</v>
      </c>
      <c r="E43" s="172">
        <v>80</v>
      </c>
      <c r="F43" s="173">
        <v>0</v>
      </c>
      <c r="G43" s="174">
        <v>0.95</v>
      </c>
      <c r="H43" s="175">
        <f t="shared" si="2"/>
        <v>342</v>
      </c>
      <c r="I43" s="170"/>
    </row>
    <row r="44" spans="1:9" ht="29.4" customHeight="1">
      <c r="B44" s="169" t="s">
        <v>186</v>
      </c>
      <c r="C44" s="170" t="s">
        <v>216</v>
      </c>
      <c r="D44" s="171">
        <v>5.0999999999999996</v>
      </c>
      <c r="E44" s="172">
        <v>80</v>
      </c>
      <c r="F44" s="173">
        <v>0</v>
      </c>
      <c r="G44" s="174">
        <v>0.95</v>
      </c>
      <c r="H44" s="175">
        <f t="shared" si="2"/>
        <v>387.59999999999997</v>
      </c>
      <c r="I44" s="170"/>
    </row>
    <row r="45" spans="1:9" ht="29.4" customHeight="1">
      <c r="B45" s="169" t="s">
        <v>187</v>
      </c>
      <c r="C45" s="170" t="s">
        <v>216</v>
      </c>
      <c r="D45" s="171">
        <v>5.0999999999999996</v>
      </c>
      <c r="E45" s="172">
        <v>80</v>
      </c>
      <c r="F45" s="173">
        <v>0</v>
      </c>
      <c r="G45" s="174">
        <v>0.95</v>
      </c>
      <c r="H45" s="175">
        <f t="shared" si="2"/>
        <v>387.59999999999997</v>
      </c>
      <c r="I45" s="170"/>
    </row>
    <row r="46" spans="1:9" ht="29.4" customHeight="1">
      <c r="B46" s="169" t="s">
        <v>188</v>
      </c>
      <c r="C46" s="170" t="s">
        <v>216</v>
      </c>
      <c r="D46" s="171">
        <v>5.0999999999999996</v>
      </c>
      <c r="E46" s="172">
        <v>80</v>
      </c>
      <c r="F46" s="173">
        <v>0</v>
      </c>
      <c r="G46" s="174">
        <v>0.95</v>
      </c>
      <c r="H46" s="175">
        <f t="shared" si="2"/>
        <v>387.59999999999997</v>
      </c>
      <c r="I46" s="170"/>
    </row>
    <row r="47" spans="1:9" ht="29.4" customHeight="1">
      <c r="B47" s="169" t="s">
        <v>189</v>
      </c>
      <c r="C47" s="170" t="s">
        <v>216</v>
      </c>
      <c r="D47" s="171">
        <v>6</v>
      </c>
      <c r="E47" s="172">
        <v>80</v>
      </c>
      <c r="F47" s="173">
        <v>0</v>
      </c>
      <c r="G47" s="174">
        <v>0</v>
      </c>
      <c r="H47" s="175">
        <f t="shared" si="2"/>
        <v>0</v>
      </c>
      <c r="I47" s="170"/>
    </row>
    <row r="48" spans="1:9" ht="29.4" customHeight="1">
      <c r="A48" s="163"/>
      <c r="B48" s="169" t="s">
        <v>190</v>
      </c>
      <c r="C48" s="170" t="s">
        <v>216</v>
      </c>
      <c r="D48" s="171">
        <v>12.7</v>
      </c>
      <c r="E48" s="172">
        <v>80</v>
      </c>
      <c r="F48" s="173">
        <v>0</v>
      </c>
      <c r="G48" s="174">
        <v>0</v>
      </c>
      <c r="H48" s="175">
        <f t="shared" si="2"/>
        <v>0</v>
      </c>
      <c r="I48" s="170"/>
    </row>
    <row r="49" spans="1:9" ht="29.4" customHeight="1">
      <c r="B49" s="169"/>
      <c r="C49" s="170"/>
      <c r="D49" s="171"/>
      <c r="E49" s="172"/>
      <c r="F49" s="173"/>
      <c r="G49" s="174"/>
      <c r="H49" s="175"/>
      <c r="I49" s="170"/>
    </row>
    <row r="50" spans="1:9" ht="29.4" customHeight="1">
      <c r="A50" s="163" t="s">
        <v>239</v>
      </c>
      <c r="B50" s="169" t="s">
        <v>229</v>
      </c>
      <c r="C50" s="170"/>
      <c r="D50" s="171"/>
      <c r="E50" s="172"/>
      <c r="F50" s="173"/>
      <c r="G50" s="174"/>
      <c r="H50" s="175"/>
      <c r="I50" s="170"/>
    </row>
    <row r="51" spans="1:9" ht="29.4" customHeight="1">
      <c r="B51" s="169" t="s">
        <v>234</v>
      </c>
      <c r="C51" s="170" t="s">
        <v>231</v>
      </c>
      <c r="D51" s="171">
        <v>1</v>
      </c>
      <c r="E51" s="172">
        <v>150</v>
      </c>
      <c r="F51" s="173">
        <v>0</v>
      </c>
      <c r="G51" s="174">
        <v>0</v>
      </c>
      <c r="H51" s="175">
        <f>D51*E51*G51</f>
        <v>0</v>
      </c>
      <c r="I51" s="170"/>
    </row>
    <row r="52" spans="1:9" ht="29.4" customHeight="1">
      <c r="B52" s="169" t="s">
        <v>235</v>
      </c>
      <c r="C52" s="170" t="s">
        <v>231</v>
      </c>
      <c r="D52" s="171">
        <v>1</v>
      </c>
      <c r="E52" s="172">
        <v>80</v>
      </c>
      <c r="F52" s="173">
        <v>0</v>
      </c>
      <c r="G52" s="174">
        <v>0</v>
      </c>
      <c r="H52" s="175">
        <f>D52*E52*G52</f>
        <v>0</v>
      </c>
      <c r="I52" s="170"/>
    </row>
    <row r="53" spans="1:9" ht="29.4" customHeight="1">
      <c r="B53" s="169" t="s">
        <v>236</v>
      </c>
      <c r="C53" s="170" t="s">
        <v>231</v>
      </c>
      <c r="D53" s="171">
        <v>1</v>
      </c>
      <c r="E53" s="172">
        <v>80</v>
      </c>
      <c r="F53" s="173">
        <v>0</v>
      </c>
      <c r="G53" s="174">
        <v>0</v>
      </c>
      <c r="H53" s="175">
        <f>D53*E53*G53</f>
        <v>0</v>
      </c>
      <c r="I53" s="170"/>
    </row>
    <row r="54" spans="1:9" ht="29.4" customHeight="1">
      <c r="A54" s="163"/>
      <c r="B54" s="197" t="s">
        <v>199</v>
      </c>
      <c r="E54" s="198">
        <f>SUMPRODUCT(D8:D26,E8:E26)+SUMPRODUCT(D29:D34,E29:E34)+SUMPRODUCT(D38:D48,E38:E48)+SUMPRODUCT(D51:D53,E51:E53)</f>
        <v>14810</v>
      </c>
      <c r="H54" s="198">
        <f>SUM(H8:H26,H29:H34,H38:H48,H51:H53)</f>
        <v>7560.3000000000011</v>
      </c>
    </row>
    <row r="55" spans="1:9" ht="29.4" customHeight="1">
      <c r="A55" s="163"/>
    </row>
    <row r="57" spans="1:9" ht="29.4" customHeight="1">
      <c r="A57" s="163"/>
      <c r="D57" s="163"/>
      <c r="G57" s="163"/>
    </row>
    <row r="59" spans="1:9" ht="29.4" customHeight="1">
      <c r="D59" s="163"/>
      <c r="G59" s="163"/>
    </row>
  </sheetData>
  <mergeCells count="1">
    <mergeCell ref="C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6AEA-61DF-4BC5-9990-AB4472D42061}">
  <dimension ref="B2:G30"/>
  <sheetViews>
    <sheetView workbookViewId="0">
      <selection activeCell="C28" sqref="C28"/>
    </sheetView>
  </sheetViews>
  <sheetFormatPr defaultRowHeight="14.4"/>
  <sheetData>
    <row r="2" spans="2:7">
      <c r="B2" s="134" t="s">
        <v>65</v>
      </c>
      <c r="C2" s="134"/>
      <c r="D2" s="134"/>
      <c r="E2" s="134" t="s">
        <v>66</v>
      </c>
      <c r="F2" s="134"/>
      <c r="G2" s="134"/>
    </row>
    <row r="3" spans="2:7">
      <c r="B3" s="25">
        <v>1</v>
      </c>
      <c r="C3" s="15" t="s">
        <v>27</v>
      </c>
      <c r="D3" s="26">
        <v>2000</v>
      </c>
      <c r="E3" s="24">
        <v>1</v>
      </c>
      <c r="F3" s="27" t="s">
        <v>67</v>
      </c>
      <c r="G3" s="24">
        <v>0</v>
      </c>
    </row>
    <row r="4" spans="2:7">
      <c r="B4" s="25">
        <v>2</v>
      </c>
      <c r="C4" s="15" t="s">
        <v>31</v>
      </c>
      <c r="D4" s="26">
        <v>1000</v>
      </c>
      <c r="E4" s="24">
        <v>2</v>
      </c>
      <c r="F4" s="20" t="s">
        <v>68</v>
      </c>
      <c r="G4" s="20"/>
    </row>
    <row r="5" spans="2:7">
      <c r="B5" s="25">
        <v>3</v>
      </c>
      <c r="C5" s="15" t="s">
        <v>36</v>
      </c>
      <c r="D5" s="26">
        <v>500</v>
      </c>
      <c r="E5" s="24"/>
      <c r="F5" s="20"/>
      <c r="G5" s="20"/>
    </row>
    <row r="6" spans="2:7">
      <c r="B6" s="25">
        <v>4</v>
      </c>
      <c r="C6" s="15" t="s">
        <v>39</v>
      </c>
      <c r="D6" s="26">
        <v>700</v>
      </c>
      <c r="E6" s="24"/>
      <c r="F6" s="20"/>
      <c r="G6" s="20"/>
    </row>
    <row r="7" spans="2:7">
      <c r="B7" s="25">
        <v>5</v>
      </c>
      <c r="C7" s="28" t="s">
        <v>42</v>
      </c>
      <c r="D7" s="26">
        <v>500</v>
      </c>
      <c r="E7" s="24"/>
      <c r="F7" s="20"/>
      <c r="G7" s="20"/>
    </row>
    <row r="8" spans="2:7">
      <c r="B8" s="25">
        <v>6</v>
      </c>
      <c r="C8" s="28" t="s">
        <v>50</v>
      </c>
      <c r="D8" s="26">
        <v>500</v>
      </c>
      <c r="E8" s="24"/>
      <c r="F8" s="20"/>
      <c r="G8" s="20"/>
    </row>
    <row r="9" spans="2:7">
      <c r="B9" s="25">
        <v>7</v>
      </c>
      <c r="C9" s="28" t="s">
        <v>53</v>
      </c>
      <c r="D9" s="26">
        <v>500</v>
      </c>
      <c r="E9" s="24"/>
      <c r="F9" s="20"/>
      <c r="G9" s="20"/>
    </row>
    <row r="10" spans="2:7">
      <c r="B10" s="25">
        <v>8</v>
      </c>
      <c r="C10" s="28" t="s">
        <v>56</v>
      </c>
      <c r="D10" s="26">
        <v>700</v>
      </c>
      <c r="E10" s="24"/>
      <c r="F10" s="20"/>
      <c r="G10" s="20"/>
    </row>
    <row r="11" spans="2:7">
      <c r="B11" s="25">
        <v>9</v>
      </c>
      <c r="C11" s="28" t="s">
        <v>58</v>
      </c>
      <c r="D11" s="26">
        <v>500</v>
      </c>
      <c r="E11" s="24"/>
      <c r="F11" s="20"/>
      <c r="G11" s="20"/>
    </row>
    <row r="12" spans="2:7">
      <c r="B12" s="25">
        <v>10</v>
      </c>
      <c r="C12" s="28" t="s">
        <v>61</v>
      </c>
      <c r="D12" s="26">
        <v>500</v>
      </c>
      <c r="E12" s="24"/>
      <c r="F12" s="20"/>
      <c r="G12" s="20"/>
    </row>
    <row r="13" spans="2:7">
      <c r="B13" s="25">
        <v>11</v>
      </c>
      <c r="C13" s="15" t="s">
        <v>64</v>
      </c>
      <c r="D13" s="26">
        <v>500</v>
      </c>
      <c r="E13" s="24"/>
      <c r="F13" s="20"/>
      <c r="G13" s="20"/>
    </row>
    <row r="14" spans="2:7">
      <c r="B14" s="25">
        <v>12</v>
      </c>
      <c r="C14" s="27" t="s">
        <v>34</v>
      </c>
      <c r="D14" s="26">
        <v>500</v>
      </c>
      <c r="E14" s="24"/>
      <c r="F14" s="20"/>
      <c r="G14" s="20"/>
    </row>
    <row r="15" spans="2:7">
      <c r="B15" s="25">
        <v>13</v>
      </c>
      <c r="C15" s="27" t="s">
        <v>44</v>
      </c>
      <c r="D15" s="26">
        <v>1000</v>
      </c>
      <c r="E15" s="24"/>
      <c r="F15" s="20"/>
      <c r="G15" s="20"/>
    </row>
    <row r="16" spans="2:7">
      <c r="B16" s="25">
        <v>14</v>
      </c>
      <c r="C16" s="27" t="s">
        <v>48</v>
      </c>
      <c r="D16" s="26">
        <v>500</v>
      </c>
      <c r="E16" s="24"/>
      <c r="F16" s="20"/>
      <c r="G16" s="20"/>
    </row>
    <row r="17" spans="2:7">
      <c r="B17" s="25">
        <v>15</v>
      </c>
      <c r="C17" s="27" t="s">
        <v>59</v>
      </c>
      <c r="D17" s="26">
        <v>500</v>
      </c>
      <c r="E17" s="24"/>
      <c r="F17" s="20"/>
      <c r="G17" s="20"/>
    </row>
    <row r="18" spans="2:7">
      <c r="B18" s="25">
        <v>16</v>
      </c>
      <c r="C18" s="27" t="s">
        <v>47</v>
      </c>
      <c r="D18" s="26">
        <v>500</v>
      </c>
      <c r="E18" s="24"/>
      <c r="F18" s="20"/>
      <c r="G18" s="20"/>
    </row>
    <row r="19" spans="2:7">
      <c r="B19" s="25">
        <v>17</v>
      </c>
      <c r="C19" s="27" t="s">
        <v>33</v>
      </c>
      <c r="D19" s="26" t="s">
        <v>26</v>
      </c>
      <c r="E19" s="24"/>
      <c r="F19" s="20"/>
      <c r="G19" s="20"/>
    </row>
    <row r="20" spans="2:7">
      <c r="B20" s="25">
        <v>18</v>
      </c>
      <c r="C20" s="27" t="s">
        <v>40</v>
      </c>
      <c r="D20" s="26">
        <v>500</v>
      </c>
      <c r="E20" s="24"/>
      <c r="F20" s="20"/>
      <c r="G20" s="20"/>
    </row>
    <row r="21" spans="2:7">
      <c r="B21" s="25">
        <v>19</v>
      </c>
      <c r="C21" s="27" t="s">
        <v>37</v>
      </c>
      <c r="D21" s="26">
        <v>500</v>
      </c>
      <c r="E21" s="24"/>
      <c r="F21" s="20"/>
      <c r="G21" s="20"/>
    </row>
    <row r="22" spans="2:7">
      <c r="B22" s="25">
        <v>20</v>
      </c>
      <c r="C22" s="27" t="s">
        <v>32</v>
      </c>
      <c r="D22" s="26">
        <v>500</v>
      </c>
      <c r="E22" s="24"/>
      <c r="F22" s="20"/>
      <c r="G22" s="20"/>
    </row>
    <row r="23" spans="2:7">
      <c r="B23" s="25">
        <v>21</v>
      </c>
      <c r="C23" s="27" t="s">
        <v>43</v>
      </c>
      <c r="D23" s="26">
        <v>500</v>
      </c>
      <c r="E23" s="24"/>
      <c r="F23" s="20"/>
      <c r="G23" s="20"/>
    </row>
    <row r="24" spans="2:7">
      <c r="B24" s="25">
        <v>22</v>
      </c>
      <c r="C24" s="27" t="s">
        <v>51</v>
      </c>
      <c r="D24" s="26">
        <v>500</v>
      </c>
      <c r="E24" s="24"/>
      <c r="F24" s="20"/>
      <c r="G24" s="20"/>
    </row>
    <row r="25" spans="2:7">
      <c r="B25" s="25">
        <v>23</v>
      </c>
      <c r="C25" s="27" t="s">
        <v>54</v>
      </c>
      <c r="D25" s="26">
        <v>500</v>
      </c>
      <c r="E25" s="24"/>
      <c r="F25" s="20"/>
      <c r="G25" s="20"/>
    </row>
    <row r="26" spans="2:7">
      <c r="B26" s="25">
        <v>24</v>
      </c>
      <c r="C26" s="27" t="s">
        <v>45</v>
      </c>
      <c r="D26" s="26">
        <v>500</v>
      </c>
      <c r="E26" s="24"/>
      <c r="F26" s="20"/>
      <c r="G26" s="20"/>
    </row>
    <row r="27" spans="2:7">
      <c r="B27" s="25">
        <v>25</v>
      </c>
      <c r="C27" s="27" t="s">
        <v>46</v>
      </c>
      <c r="D27" s="26">
        <v>500</v>
      </c>
      <c r="E27" s="24"/>
      <c r="F27" s="20"/>
      <c r="G27" s="20"/>
    </row>
    <row r="28" spans="2:7">
      <c r="B28" s="25">
        <v>26</v>
      </c>
      <c r="C28" s="27" t="s">
        <v>62</v>
      </c>
      <c r="D28" s="26">
        <v>500</v>
      </c>
      <c r="E28" s="24"/>
      <c r="F28" s="20"/>
      <c r="G28" s="20"/>
    </row>
    <row r="29" spans="2:7">
      <c r="B29" s="25">
        <v>27</v>
      </c>
      <c r="C29" s="15" t="s">
        <v>64</v>
      </c>
      <c r="D29" s="26">
        <v>500</v>
      </c>
      <c r="E29" s="24"/>
      <c r="F29" s="20"/>
      <c r="G29" s="20"/>
    </row>
    <row r="30" spans="2:7">
      <c r="B30" s="25"/>
      <c r="C30" s="27" t="s">
        <v>69</v>
      </c>
      <c r="D30" s="26">
        <f>SUM(D3:D29)</f>
        <v>15900</v>
      </c>
      <c r="E30" s="24"/>
      <c r="F30" s="20"/>
      <c r="G30" s="20"/>
    </row>
  </sheetData>
  <mergeCells count="2">
    <mergeCell ref="B2:D2"/>
    <mergeCell ref="E2:G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PROGRESSION</vt:lpstr>
      <vt:lpstr>COMPARE</vt:lpstr>
      <vt:lpstr>ORDER</vt:lpstr>
      <vt:lpstr>FLOORS</vt:lpstr>
      <vt:lpstr>SITE REPORT</vt:lpstr>
      <vt:lpstr>PO LOG</vt:lpstr>
      <vt:lpstr>MANPOWER</vt:lpstr>
      <vt:lpstr>ATTENDANCE</vt:lpstr>
      <vt:lpstr>aipoon</vt:lpstr>
      <vt:lpstr>ariyan</vt:lpstr>
      <vt:lpstr>Sheet2</vt:lpstr>
      <vt:lpstr>ATTENDANCE!Print_Area</vt:lpstr>
      <vt:lpstr>ATTENDANCE!Print_Titles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jessicaimaucka</cp:lastModifiedBy>
  <cp:lastPrinted>2026-09-03T03:15:23Z</cp:lastPrinted>
  <dcterms:created xsi:type="dcterms:W3CDTF">2026-08-27T03:51:38Z</dcterms:created>
  <dcterms:modified xsi:type="dcterms:W3CDTF">2026-09-14T03:36:24Z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29D4969D0E614AABA52DA1445888668C_11</vt:lpwstr>
  </property>
  <property fmtid="{D5CDD505-2E9C-101B-9397-08002B2CF9AE}" pid="3" name="KSOProductBuildVer">
    <vt:lpwstr>2057-12.2.0.23206</vt:lpwstr>
  </property>
</Properties>
</file>